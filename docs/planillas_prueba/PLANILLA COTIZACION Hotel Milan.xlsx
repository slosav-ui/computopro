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losa\OneDrive\Desktop\BARILOCHE\OBRAS 2025\hotel milan\"/>
    </mc:Choice>
  </mc:AlternateContent>
  <xr:revisionPtr revIDLastSave="0" documentId="13_ncr:1_{738B8292-D339-4CBB-A09A-2D265FE5A5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oja2" sheetId="9" r:id="rId1"/>
    <sheet name="Hoja6" sheetId="7" r:id="rId2"/>
    <sheet name="Hoja8" sheetId="13" r:id="rId3"/>
    <sheet name="COMP Y PRES 2" sheetId="11" r:id="rId4"/>
    <sheet name="Hoja4" sheetId="5" r:id="rId5"/>
    <sheet name="Hoja5" sheetId="6" r:id="rId6"/>
    <sheet name="Hoja1" sheetId="2" r:id="rId7"/>
    <sheet name="COMPUTO" sheetId="3" r:id="rId8"/>
    <sheet name="gastos" sheetId="10" r:id="rId9"/>
    <sheet name="Hoja3" sheetId="4" r:id="rId10"/>
    <sheet name="Hoja7" sheetId="12" r:id="rId11"/>
  </sheets>
  <definedNames>
    <definedName name="_xlnm.Print_Area" localSheetId="3">'COMP Y PRES 2'!$A$1:$F$35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1" l="1"/>
  <c r="E396" i="7"/>
  <c r="K416" i="7"/>
  <c r="D18" i="11"/>
  <c r="J429" i="7"/>
  <c r="M429" i="7" s="1"/>
  <c r="E427" i="7"/>
  <c r="E426" i="7"/>
  <c r="E425" i="7"/>
  <c r="E424" i="7"/>
  <c r="E421" i="7"/>
  <c r="E420" i="7"/>
  <c r="G409" i="7"/>
  <c r="G408" i="7"/>
  <c r="G407" i="7"/>
  <c r="G406" i="7"/>
  <c r="F406" i="7"/>
  <c r="G405" i="7"/>
  <c r="F405" i="7"/>
  <c r="G404" i="7"/>
  <c r="F404" i="7"/>
  <c r="F403" i="7"/>
  <c r="E403" i="7"/>
  <c r="G403" i="7" s="1"/>
  <c r="F402" i="7"/>
  <c r="E402" i="7"/>
  <c r="G402" i="7" s="1"/>
  <c r="G401" i="7"/>
  <c r="F401" i="7"/>
  <c r="E401" i="7"/>
  <c r="F400" i="7"/>
  <c r="E400" i="7"/>
  <c r="G400" i="7" s="1"/>
  <c r="F399" i="7"/>
  <c r="E399" i="7"/>
  <c r="G399" i="7" s="1"/>
  <c r="G397" i="7"/>
  <c r="F397" i="7"/>
  <c r="G396" i="7"/>
  <c r="F396" i="7"/>
  <c r="F395" i="7"/>
  <c r="G395" i="7" s="1"/>
  <c r="F394" i="7"/>
  <c r="E394" i="7"/>
  <c r="G394" i="7" s="1"/>
  <c r="G393" i="7"/>
  <c r="F393" i="7"/>
  <c r="E364" i="7"/>
  <c r="E363" i="7"/>
  <c r="E362" i="7"/>
  <c r="E361" i="7"/>
  <c r="E360" i="7"/>
  <c r="E357" i="7"/>
  <c r="E355" i="7"/>
  <c r="E21" i="13"/>
  <c r="F21" i="13" s="1"/>
  <c r="M12" i="13"/>
  <c r="N12" i="13"/>
  <c r="E250" i="7"/>
  <c r="E249" i="7"/>
  <c r="E248" i="7"/>
  <c r="E246" i="7"/>
  <c r="E20" i="13"/>
  <c r="O11" i="13" s="1"/>
  <c r="E19" i="13"/>
  <c r="O10" i="13" s="1"/>
  <c r="E18" i="13"/>
  <c r="F18" i="13" s="1"/>
  <c r="E17" i="13"/>
  <c r="F17" i="13" s="1"/>
  <c r="E16" i="13"/>
  <c r="F16" i="13" s="1"/>
  <c r="E15" i="13"/>
  <c r="O6" i="13" s="1"/>
  <c r="E14" i="13"/>
  <c r="O5" i="13" s="1"/>
  <c r="E166" i="7" s="1"/>
  <c r="N11" i="13"/>
  <c r="N10" i="13"/>
  <c r="O9" i="13"/>
  <c r="N9" i="13"/>
  <c r="N8" i="13"/>
  <c r="E282" i="7" s="1"/>
  <c r="N7" i="13"/>
  <c r="E321" i="7" s="1"/>
  <c r="N6" i="13"/>
  <c r="E204" i="7" s="1"/>
  <c r="E243" i="7" s="1"/>
  <c r="N5" i="13"/>
  <c r="E165" i="7" s="1"/>
  <c r="F6" i="7"/>
  <c r="F5" i="7"/>
  <c r="F4" i="7"/>
  <c r="F3" i="7"/>
  <c r="E114" i="12"/>
  <c r="E113" i="12"/>
  <c r="E110" i="12"/>
  <c r="E109" i="12"/>
  <c r="E108" i="12"/>
  <c r="E106" i="12"/>
  <c r="G96" i="12"/>
  <c r="G95" i="12"/>
  <c r="G94" i="12"/>
  <c r="G93" i="12"/>
  <c r="G92" i="12"/>
  <c r="G91" i="12"/>
  <c r="G90" i="12"/>
  <c r="G89" i="12"/>
  <c r="G88" i="12"/>
  <c r="G87" i="12"/>
  <c r="G86" i="12"/>
  <c r="F84" i="12"/>
  <c r="G84" i="12" s="1"/>
  <c r="F83" i="12"/>
  <c r="G83" i="12" s="1"/>
  <c r="F82" i="12"/>
  <c r="G82" i="12" s="1"/>
  <c r="F81" i="12"/>
  <c r="G81" i="12" s="1"/>
  <c r="F80" i="12"/>
  <c r="G80" i="12" s="1"/>
  <c r="E75" i="12"/>
  <c r="E74" i="12"/>
  <c r="E71" i="12"/>
  <c r="E70" i="12"/>
  <c r="E69" i="12"/>
  <c r="E67" i="12"/>
  <c r="F45" i="12"/>
  <c r="F44" i="12"/>
  <c r="F43" i="12"/>
  <c r="F42" i="12"/>
  <c r="G42" i="12" s="1"/>
  <c r="F41" i="12"/>
  <c r="G41" i="12" s="1"/>
  <c r="G57" i="12"/>
  <c r="G56" i="12"/>
  <c r="G55" i="12"/>
  <c r="G54" i="12"/>
  <c r="G53" i="12"/>
  <c r="G52" i="12"/>
  <c r="F52" i="12"/>
  <c r="G51" i="12"/>
  <c r="G50" i="12"/>
  <c r="F50" i="12"/>
  <c r="G49" i="12"/>
  <c r="F49" i="12"/>
  <c r="G48" i="12"/>
  <c r="G47" i="12"/>
  <c r="G45" i="12"/>
  <c r="G43" i="12"/>
  <c r="F13" i="12"/>
  <c r="F11" i="12"/>
  <c r="G11" i="12" s="1"/>
  <c r="F10" i="12"/>
  <c r="F2" i="12"/>
  <c r="G2" i="12"/>
  <c r="F4" i="12"/>
  <c r="G4" i="12" s="1"/>
  <c r="F5" i="12"/>
  <c r="F3" i="12"/>
  <c r="G18" i="12"/>
  <c r="G17" i="12"/>
  <c r="G16" i="12"/>
  <c r="G15" i="12"/>
  <c r="G14" i="12"/>
  <c r="G13" i="12"/>
  <c r="G12" i="12"/>
  <c r="G10" i="12"/>
  <c r="G9" i="12"/>
  <c r="G8" i="12"/>
  <c r="F6" i="12"/>
  <c r="G6" i="12" s="1"/>
  <c r="G5" i="12"/>
  <c r="G3" i="12"/>
  <c r="G413" i="7" l="1"/>
  <c r="G416" i="7" s="1"/>
  <c r="G398" i="7"/>
  <c r="G415" i="7" s="1"/>
  <c r="I417" i="7" s="1"/>
  <c r="I418" i="7" s="1"/>
  <c r="O7" i="13"/>
  <c r="E322" i="7" s="1"/>
  <c r="O8" i="13"/>
  <c r="E283" i="7" s="1"/>
  <c r="F14" i="13"/>
  <c r="G14" i="13" s="1"/>
  <c r="H14" i="13" s="1"/>
  <c r="G21" i="13"/>
  <c r="P12" i="13"/>
  <c r="O12" i="13"/>
  <c r="F15" i="13"/>
  <c r="G15" i="13" s="1"/>
  <c r="H15" i="13" s="1"/>
  <c r="F19" i="13"/>
  <c r="G19" i="13" s="1"/>
  <c r="H19" i="13" s="1"/>
  <c r="G18" i="13"/>
  <c r="Q9" i="13" s="1"/>
  <c r="P9" i="13"/>
  <c r="G16" i="13"/>
  <c r="P7" i="13"/>
  <c r="E323" i="7" s="1"/>
  <c r="G17" i="13"/>
  <c r="P8" i="13"/>
  <c r="E284" i="7" s="1"/>
  <c r="F20" i="13"/>
  <c r="G100" i="12"/>
  <c r="G103" i="12" s="1"/>
  <c r="G85" i="12"/>
  <c r="G102" i="12" s="1"/>
  <c r="G61" i="12"/>
  <c r="G64" i="12" s="1"/>
  <c r="G44" i="12"/>
  <c r="G46" i="12" s="1"/>
  <c r="G63" i="12" s="1"/>
  <c r="G22" i="12"/>
  <c r="G25" i="12" s="1"/>
  <c r="G7" i="12"/>
  <c r="G24" i="12" s="1"/>
  <c r="G144" i="7"/>
  <c r="G418" i="7" l="1"/>
  <c r="G419" i="7" s="1"/>
  <c r="G420" i="7" s="1"/>
  <c r="P5" i="13"/>
  <c r="Q5" i="13"/>
  <c r="Q6" i="13"/>
  <c r="E206" i="7" s="1"/>
  <c r="E245" i="7" s="1"/>
  <c r="P6" i="13"/>
  <c r="E205" i="7" s="1"/>
  <c r="E244" i="7" s="1"/>
  <c r="P10" i="13"/>
  <c r="Q10" i="13"/>
  <c r="Q12" i="13"/>
  <c r="H21" i="13"/>
  <c r="H18" i="13"/>
  <c r="I18" i="13" s="1"/>
  <c r="I19" i="13"/>
  <c r="R10" i="13"/>
  <c r="H17" i="13"/>
  <c r="Q8" i="13"/>
  <c r="E285" i="7" s="1"/>
  <c r="P11" i="13"/>
  <c r="G20" i="13"/>
  <c r="H16" i="13"/>
  <c r="Q7" i="13"/>
  <c r="E324" i="7" s="1"/>
  <c r="R6" i="13"/>
  <c r="E208" i="7" s="1"/>
  <c r="E247" i="7" s="1"/>
  <c r="I15" i="13"/>
  <c r="R5" i="13"/>
  <c r="I14" i="13"/>
  <c r="G105" i="12"/>
  <c r="I105" i="12" s="1"/>
  <c r="G66" i="12"/>
  <c r="G67" i="12" s="1"/>
  <c r="G68" i="12" s="1"/>
  <c r="G27" i="12"/>
  <c r="G28" i="12" s="1"/>
  <c r="G29" i="12" s="1"/>
  <c r="G30" i="12" s="1"/>
  <c r="F26" i="11"/>
  <c r="I26" i="11" s="1"/>
  <c r="G423" i="7" l="1"/>
  <c r="G427" i="7" s="1"/>
  <c r="G421" i="7"/>
  <c r="R12" i="13"/>
  <c r="I21" i="13"/>
  <c r="R9" i="13"/>
  <c r="I16" i="13"/>
  <c r="R7" i="13"/>
  <c r="E325" i="7" s="1"/>
  <c r="J19" i="13"/>
  <c r="T10" i="13" s="1"/>
  <c r="S10" i="13"/>
  <c r="Q11" i="13"/>
  <c r="H20" i="13"/>
  <c r="S6" i="13"/>
  <c r="E199" i="7" s="1"/>
  <c r="E238" i="7" s="1"/>
  <c r="J15" i="13"/>
  <c r="T6" i="13" s="1"/>
  <c r="E201" i="7" s="1"/>
  <c r="E240" i="7" s="1"/>
  <c r="S9" i="13"/>
  <c r="J18" i="13"/>
  <c r="T9" i="13" s="1"/>
  <c r="I17" i="13"/>
  <c r="R8" i="13"/>
  <c r="E286" i="7" s="1"/>
  <c r="J14" i="13"/>
  <c r="T5" i="13" s="1"/>
  <c r="E162" i="7" s="1"/>
  <c r="S5" i="13"/>
  <c r="E160" i="7" s="1"/>
  <c r="G106" i="12"/>
  <c r="G107" i="12" s="1"/>
  <c r="G108" i="12" s="1"/>
  <c r="I66" i="12"/>
  <c r="G69" i="12"/>
  <c r="G71" i="12"/>
  <c r="G70" i="12"/>
  <c r="G31" i="12"/>
  <c r="G32" i="12"/>
  <c r="G36" i="12" s="1"/>
  <c r="I27" i="12"/>
  <c r="F27" i="11"/>
  <c r="S12" i="13" l="1"/>
  <c r="J21" i="13"/>
  <c r="T12" i="13" s="1"/>
  <c r="I20" i="13"/>
  <c r="R11" i="13"/>
  <c r="S7" i="13"/>
  <c r="E316" i="7" s="1"/>
  <c r="J16" i="13"/>
  <c r="T7" i="13" s="1"/>
  <c r="E318" i="7" s="1"/>
  <c r="J17" i="13"/>
  <c r="T8" i="13" s="1"/>
  <c r="E279" i="7" s="1"/>
  <c r="S8" i="13"/>
  <c r="E277" i="7" s="1"/>
  <c r="G110" i="12"/>
  <c r="G114" i="12" s="1"/>
  <c r="G109" i="12"/>
  <c r="G75" i="12"/>
  <c r="G72" i="12"/>
  <c r="G33" i="12"/>
  <c r="G35" i="12" s="1"/>
  <c r="S11" i="13" l="1"/>
  <c r="J20" i="13"/>
  <c r="T11" i="13" s="1"/>
  <c r="G111" i="12"/>
  <c r="G112" i="12" s="1"/>
  <c r="G74" i="12"/>
  <c r="G73" i="12"/>
  <c r="G34" i="12"/>
  <c r="G38" i="12" s="1"/>
  <c r="J38" i="12" s="1"/>
  <c r="G113" i="12" l="1"/>
  <c r="G116" i="12" s="1"/>
  <c r="J116" i="12" s="1"/>
  <c r="G77" i="12"/>
  <c r="J77" i="12" s="1"/>
  <c r="G136" i="7" l="1"/>
  <c r="G135" i="7"/>
  <c r="G134" i="7"/>
  <c r="G133" i="7"/>
  <c r="G132" i="7"/>
  <c r="G131" i="7"/>
  <c r="G130" i="7"/>
  <c r="G129" i="7"/>
  <c r="G128" i="7"/>
  <c r="G127" i="7"/>
  <c r="G126" i="7"/>
  <c r="F14" i="11"/>
  <c r="G97" i="7"/>
  <c r="G96" i="7"/>
  <c r="G95" i="7"/>
  <c r="G94" i="7"/>
  <c r="G93" i="7"/>
  <c r="G92" i="7"/>
  <c r="G91" i="7"/>
  <c r="G90" i="7"/>
  <c r="G89" i="7"/>
  <c r="G88" i="7"/>
  <c r="G87" i="7"/>
  <c r="G165" i="7"/>
  <c r="O165" i="7"/>
  <c r="Q165" i="7" s="1"/>
  <c r="R165" i="7" s="1"/>
  <c r="G166" i="7"/>
  <c r="O166" i="7"/>
  <c r="Q166" i="7" s="1"/>
  <c r="F167" i="7"/>
  <c r="G167" i="7" s="1"/>
  <c r="F168" i="7"/>
  <c r="G168" i="7" s="1"/>
  <c r="G169" i="7"/>
  <c r="F170" i="7"/>
  <c r="G170" i="7" s="1"/>
  <c r="G171" i="7"/>
  <c r="G172" i="7"/>
  <c r="G173" i="7"/>
  <c r="G174" i="7"/>
  <c r="G175" i="7"/>
  <c r="J78" i="7"/>
  <c r="G140" i="7" l="1"/>
  <c r="G143" i="7" s="1"/>
  <c r="G101" i="7"/>
  <c r="G104" i="7" s="1"/>
  <c r="G179" i="7"/>
  <c r="G182" i="7" s="1"/>
  <c r="J117" i="7"/>
  <c r="J156" i="7" s="1"/>
  <c r="J195" i="7" l="1"/>
  <c r="J234" i="7" s="1"/>
  <c r="J273" i="7" s="1"/>
  <c r="J312" i="7" s="1"/>
  <c r="J351" i="7" s="1"/>
  <c r="J390" i="7" s="1"/>
  <c r="G247" i="5"/>
  <c r="J246" i="5"/>
  <c r="J248" i="5" s="1"/>
  <c r="G246" i="5"/>
  <c r="G245" i="5"/>
  <c r="G244" i="5"/>
  <c r="G243" i="5"/>
  <c r="G242" i="5"/>
  <c r="G241" i="5"/>
  <c r="I240" i="5"/>
  <c r="G240" i="5"/>
  <c r="I239" i="5"/>
  <c r="G239" i="5"/>
  <c r="I238" i="5"/>
  <c r="G238" i="5"/>
  <c r="I237" i="5"/>
  <c r="G237" i="5"/>
  <c r="K236" i="5"/>
  <c r="E13" i="5"/>
  <c r="E12" i="5"/>
  <c r="E11" i="5"/>
  <c r="J25" i="11"/>
  <c r="R241" i="5" l="1"/>
  <c r="G251" i="5"/>
  <c r="Z251" i="5" s="1"/>
  <c r="BC27" i="11"/>
  <c r="BC25" i="11"/>
  <c r="BC26" i="11" s="1"/>
  <c r="F195" i="5"/>
  <c r="G205" i="5"/>
  <c r="J204" i="5"/>
  <c r="J206" i="5" s="1"/>
  <c r="G204" i="5"/>
  <c r="G203" i="5"/>
  <c r="G202" i="5"/>
  <c r="G201" i="5"/>
  <c r="G200" i="5"/>
  <c r="G199" i="5"/>
  <c r="I198" i="5"/>
  <c r="G198" i="5"/>
  <c r="I197" i="5"/>
  <c r="G197" i="5"/>
  <c r="I196" i="5"/>
  <c r="G196" i="5"/>
  <c r="I195" i="5"/>
  <c r="G195" i="5"/>
  <c r="K194" i="5"/>
  <c r="J162" i="5"/>
  <c r="J164" i="5" s="1"/>
  <c r="E150" i="5"/>
  <c r="E148" i="5"/>
  <c r="F113" i="5"/>
  <c r="F112" i="5"/>
  <c r="F111" i="5"/>
  <c r="F12" i="5"/>
  <c r="F7" i="7"/>
  <c r="F6" i="5"/>
  <c r="F5" i="5"/>
  <c r="F8" i="5"/>
  <c r="F7" i="5"/>
  <c r="F9" i="5"/>
  <c r="F11" i="5"/>
  <c r="F206" i="7"/>
  <c r="F245" i="7" s="1"/>
  <c r="F284" i="7" s="1"/>
  <c r="F323" i="7" s="1"/>
  <c r="F362" i="7" s="1"/>
  <c r="F207" i="7"/>
  <c r="F246" i="7" s="1"/>
  <c r="F285" i="7" s="1"/>
  <c r="F324" i="7" s="1"/>
  <c r="F363" i="7" s="1"/>
  <c r="F211" i="7"/>
  <c r="F250" i="7" s="1"/>
  <c r="F289" i="7" s="1"/>
  <c r="F328" i="7" s="1"/>
  <c r="F367" i="7" s="1"/>
  <c r="F210" i="7"/>
  <c r="F249" i="7" s="1"/>
  <c r="F288" i="7" s="1"/>
  <c r="F327" i="7" s="1"/>
  <c r="F366" i="7" s="1"/>
  <c r="F208" i="7"/>
  <c r="F247" i="7" s="1"/>
  <c r="F286" i="7" s="1"/>
  <c r="F325" i="7" s="1"/>
  <c r="F364" i="7" s="1"/>
  <c r="F205" i="7"/>
  <c r="F244" i="7" s="1"/>
  <c r="F283" i="7" s="1"/>
  <c r="F322" i="7" s="1"/>
  <c r="F361" i="7" s="1"/>
  <c r="F204" i="7"/>
  <c r="F243" i="7" s="1"/>
  <c r="F282" i="7" s="1"/>
  <c r="F321" i="7" s="1"/>
  <c r="F360" i="7" s="1"/>
  <c r="F209" i="7"/>
  <c r="F248" i="7" s="1"/>
  <c r="F287" i="7" s="1"/>
  <c r="F326" i="7" s="1"/>
  <c r="F365" i="7" s="1"/>
  <c r="G254" i="5" l="1"/>
  <c r="R199" i="5"/>
  <c r="G209" i="5"/>
  <c r="G212" i="5" s="1"/>
  <c r="Z209" i="5" l="1"/>
  <c r="F154" i="5" l="1"/>
  <c r="G154" i="5" s="1"/>
  <c r="F153" i="5"/>
  <c r="G153" i="5" s="1"/>
  <c r="G163" i="5"/>
  <c r="G162" i="5"/>
  <c r="G161" i="5"/>
  <c r="G160" i="5"/>
  <c r="G159" i="5"/>
  <c r="G158" i="5"/>
  <c r="G157" i="5"/>
  <c r="I156" i="5"/>
  <c r="G156" i="5"/>
  <c r="I155" i="5"/>
  <c r="G155" i="5"/>
  <c r="I154" i="5"/>
  <c r="I153" i="5"/>
  <c r="K152" i="5"/>
  <c r="I21" i="11"/>
  <c r="F15" i="11"/>
  <c r="L18" i="11"/>
  <c r="L21" i="11" s="1"/>
  <c r="L22" i="11" s="1"/>
  <c r="J22" i="11" l="1"/>
  <c r="R157" i="5"/>
  <c r="G167" i="5"/>
  <c r="G170" i="5" s="1"/>
  <c r="J18" i="11"/>
  <c r="J21" i="11"/>
  <c r="M22" i="11" l="1"/>
  <c r="Z167" i="5"/>
  <c r="K17" i="11"/>
  <c r="M21" i="11"/>
  <c r="M18" i="11"/>
  <c r="P15" i="2" l="1"/>
  <c r="K16" i="2"/>
  <c r="K15" i="2"/>
  <c r="K4" i="2"/>
  <c r="K5" i="2"/>
  <c r="K6" i="2"/>
  <c r="K7" i="2"/>
  <c r="P9" i="2" s="1"/>
  <c r="K8" i="2"/>
  <c r="P3" i="2" s="1"/>
  <c r="K9" i="2"/>
  <c r="K10" i="2"/>
  <c r="K11" i="2"/>
  <c r="K12" i="2"/>
  <c r="K13" i="2"/>
  <c r="K3" i="2"/>
  <c r="J18" i="2" l="1"/>
  <c r="L20" i="2"/>
  <c r="L21" i="2" s="1"/>
  <c r="M21" i="2" s="1"/>
  <c r="N21" i="2" s="1"/>
  <c r="J20" i="2" l="1"/>
  <c r="I18" i="2"/>
  <c r="R2" i="9" l="1"/>
  <c r="S2" i="9" s="1"/>
  <c r="G362" i="7" l="1"/>
  <c r="G360" i="7"/>
  <c r="G364" i="7"/>
  <c r="G370" i="7"/>
  <c r="G369" i="7"/>
  <c r="G368" i="7"/>
  <c r="G367" i="7"/>
  <c r="G366" i="7"/>
  <c r="G365" i="7"/>
  <c r="G363" i="7"/>
  <c r="G361" i="7"/>
  <c r="BC24" i="11"/>
  <c r="L14" i="2"/>
  <c r="J14" i="2"/>
  <c r="J16" i="2" s="1"/>
  <c r="G374" i="7" l="1"/>
  <c r="G377" i="7" s="1"/>
  <c r="E10" i="7" l="1"/>
  <c r="AS77" i="11"/>
  <c r="AP78" i="11"/>
  <c r="AQ72" i="11"/>
  <c r="AS57" i="11"/>
  <c r="AS56" i="11"/>
  <c r="AS55" i="11"/>
  <c r="AS54" i="11"/>
  <c r="AS53" i="11"/>
  <c r="AO70" i="11"/>
  <c r="AP70" i="11" s="1"/>
  <c r="AK71" i="11" l="1"/>
  <c r="AU78" i="11"/>
  <c r="AV78" i="11" s="1"/>
  <c r="AS70" i="11"/>
  <c r="AU70" i="11" s="1"/>
  <c r="AV70" i="11" s="1"/>
  <c r="AP83" i="11"/>
  <c r="Q11" i="9" l="1"/>
  <c r="O11" i="9"/>
  <c r="O10" i="9"/>
  <c r="O9" i="9"/>
  <c r="O48" i="9"/>
  <c r="O47" i="9"/>
  <c r="N47" i="9"/>
  <c r="O18" i="9"/>
  <c r="D28" i="9"/>
  <c r="E28" i="9" s="1"/>
  <c r="E35" i="9"/>
  <c r="K6" i="9"/>
  <c r="I35" i="9"/>
  <c r="B36" i="9"/>
  <c r="E36" i="9" s="1"/>
  <c r="G36" i="9"/>
  <c r="C16" i="10"/>
  <c r="D3" i="2"/>
  <c r="F3" i="2" s="1"/>
  <c r="D4" i="2"/>
  <c r="F4" i="2" s="1"/>
  <c r="D5" i="2"/>
  <c r="F5" i="2" s="1"/>
  <c r="D6" i="2"/>
  <c r="F6" i="2" s="1"/>
  <c r="D7" i="2"/>
  <c r="F7" i="2" s="1"/>
  <c r="D9" i="2"/>
  <c r="F9" i="2" s="1"/>
  <c r="D10" i="2"/>
  <c r="F10" i="2" s="1"/>
  <c r="D13" i="2"/>
  <c r="F13" i="2" s="1"/>
  <c r="D14" i="2"/>
  <c r="F14" i="2" s="1"/>
  <c r="C18" i="2"/>
  <c r="D18" i="2" s="1"/>
  <c r="F18" i="2" s="1"/>
  <c r="D22" i="2"/>
  <c r="F22" i="2"/>
  <c r="D27" i="2"/>
  <c r="F27" i="2"/>
  <c r="C31" i="2"/>
  <c r="D31" i="2" s="1"/>
  <c r="F31" i="2" s="1"/>
  <c r="F33" i="2" s="1"/>
  <c r="J33" i="2" s="1"/>
  <c r="K33" i="2" s="1"/>
  <c r="K39" i="2" s="1"/>
  <c r="D32" i="2"/>
  <c r="F32" i="2" s="1"/>
  <c r="M35" i="2"/>
  <c r="M36" i="2" s="1"/>
  <c r="M38" i="2" s="1"/>
  <c r="O35" i="2"/>
  <c r="O36" i="2" s="1"/>
  <c r="E49" i="9"/>
  <c r="I49" i="9" s="1"/>
  <c r="B49" i="9"/>
  <c r="Q4" i="9"/>
  <c r="Q5" i="9" s="1"/>
  <c r="B45" i="9"/>
  <c r="B48" i="9"/>
  <c r="E48" i="9" s="1"/>
  <c r="I48" i="9" s="1"/>
  <c r="E116" i="9"/>
  <c r="I116" i="9" s="1"/>
  <c r="G109" i="9"/>
  <c r="E109" i="9"/>
  <c r="E108" i="9"/>
  <c r="I108" i="9" s="1"/>
  <c r="G107" i="9"/>
  <c r="E107" i="9"/>
  <c r="G106" i="9"/>
  <c r="E106" i="9"/>
  <c r="E105" i="9"/>
  <c r="I105" i="9" s="1"/>
  <c r="E98" i="9"/>
  <c r="I98" i="9" s="1"/>
  <c r="B97" i="9"/>
  <c r="E97" i="9" s="1"/>
  <c r="I97" i="9" s="1"/>
  <c r="E90" i="9"/>
  <c r="I90" i="9" s="1"/>
  <c r="E89" i="9"/>
  <c r="I89" i="9" s="1"/>
  <c r="M88" i="9"/>
  <c r="N88" i="9" s="1"/>
  <c r="G88" i="9"/>
  <c r="E88" i="9"/>
  <c r="O83" i="9"/>
  <c r="P83" i="9" s="1"/>
  <c r="Q81" i="9"/>
  <c r="E81" i="9"/>
  <c r="I81" i="9" s="1"/>
  <c r="M80" i="9"/>
  <c r="E80" i="9"/>
  <c r="I80" i="9" s="1"/>
  <c r="E79" i="9"/>
  <c r="I79" i="9" s="1"/>
  <c r="E78" i="9"/>
  <c r="I78" i="9" s="1"/>
  <c r="M77" i="9"/>
  <c r="E77" i="9"/>
  <c r="I77" i="9" s="1"/>
  <c r="B76" i="9"/>
  <c r="E76" i="9" s="1"/>
  <c r="I76" i="9" s="1"/>
  <c r="B75" i="9"/>
  <c r="E75" i="9" s="1"/>
  <c r="I75" i="9" s="1"/>
  <c r="E74" i="9"/>
  <c r="I74" i="9" s="1"/>
  <c r="E73" i="9"/>
  <c r="I73" i="9" s="1"/>
  <c r="M72" i="9"/>
  <c r="E72" i="9"/>
  <c r="I72" i="9" s="1"/>
  <c r="I71" i="9"/>
  <c r="E70" i="9"/>
  <c r="I70" i="9" s="1"/>
  <c r="I69" i="9"/>
  <c r="E68" i="9"/>
  <c r="I68" i="9" s="1"/>
  <c r="I67" i="9"/>
  <c r="E58" i="9"/>
  <c r="I58" i="9" s="1"/>
  <c r="E57" i="9"/>
  <c r="I57" i="9" s="1"/>
  <c r="G56" i="9"/>
  <c r="E56" i="9"/>
  <c r="E47" i="9"/>
  <c r="E46" i="9"/>
  <c r="I46" i="9" s="1"/>
  <c r="E21" i="9"/>
  <c r="I21" i="9" s="1"/>
  <c r="E20" i="9"/>
  <c r="I20" i="9" s="1"/>
  <c r="E19" i="9"/>
  <c r="I19" i="9" s="1"/>
  <c r="E12" i="9"/>
  <c r="I12" i="9" s="1"/>
  <c r="E9" i="9"/>
  <c r="I9" i="9" s="1"/>
  <c r="E8" i="9"/>
  <c r="I8" i="9" s="1"/>
  <c r="E7" i="9"/>
  <c r="I7" i="9" s="1"/>
  <c r="O4" i="9"/>
  <c r="K40" i="9" l="1"/>
  <c r="I36" i="9"/>
  <c r="Q83" i="9"/>
  <c r="I107" i="9"/>
  <c r="E45" i="9"/>
  <c r="I45" i="9" s="1"/>
  <c r="I109" i="9"/>
  <c r="I88" i="9"/>
  <c r="I106" i="9"/>
  <c r="I28" i="9"/>
  <c r="K30" i="9" s="1"/>
  <c r="I47" i="9"/>
  <c r="K51" i="9" s="1"/>
  <c r="I56" i="9"/>
  <c r="K2" i="9" l="1"/>
  <c r="O2" i="9"/>
  <c r="Q2" i="9" s="1"/>
  <c r="H11" i="3"/>
  <c r="E11" i="3"/>
  <c r="F11" i="3" s="1"/>
  <c r="F14" i="3" s="1"/>
  <c r="E12" i="3"/>
  <c r="F12" i="3" s="1"/>
  <c r="H12" i="3" s="1"/>
  <c r="F57" i="3"/>
  <c r="F58" i="3" s="1"/>
  <c r="E57" i="3"/>
  <c r="H57" i="3" s="1"/>
  <c r="E54" i="3"/>
  <c r="F54" i="3" s="1"/>
  <c r="E53" i="3"/>
  <c r="F53" i="3" s="1"/>
  <c r="E52" i="3"/>
  <c r="F52" i="3" s="1"/>
  <c r="F49" i="3"/>
  <c r="E49" i="3"/>
  <c r="F48" i="3"/>
  <c r="E48" i="3"/>
  <c r="F47" i="3"/>
  <c r="E47" i="3"/>
  <c r="F46" i="3"/>
  <c r="F50" i="3" s="1"/>
  <c r="E46" i="3"/>
  <c r="E41" i="3"/>
  <c r="F41" i="3" s="1"/>
  <c r="F44" i="3" s="1"/>
  <c r="E38" i="3"/>
  <c r="F38" i="3" s="1"/>
  <c r="E37" i="3"/>
  <c r="F37" i="3" s="1"/>
  <c r="E36" i="3"/>
  <c r="F36" i="3" s="1"/>
  <c r="E34" i="3"/>
  <c r="E35" i="3" s="1"/>
  <c r="F35" i="3" s="1"/>
  <c r="E31" i="3"/>
  <c r="H31" i="3" s="1"/>
  <c r="E30" i="3"/>
  <c r="F30" i="3" s="1"/>
  <c r="F29" i="3"/>
  <c r="I29" i="3" s="1"/>
  <c r="E29" i="3"/>
  <c r="E28" i="3"/>
  <c r="F28" i="3" s="1"/>
  <c r="E25" i="3"/>
  <c r="F25" i="3" s="1"/>
  <c r="F26" i="3" s="1"/>
  <c r="D21" i="3"/>
  <c r="D20" i="3"/>
  <c r="D18" i="3"/>
  <c r="D17" i="3"/>
  <c r="G12" i="3"/>
  <c r="G13" i="3" s="1"/>
  <c r="G14" i="3" s="1"/>
  <c r="G15" i="3" s="1"/>
  <c r="G16" i="3" s="1"/>
  <c r="O6" i="9" l="1"/>
  <c r="I28" i="3"/>
  <c r="G60" i="3"/>
  <c r="G17" i="3"/>
  <c r="G18" i="3" s="1"/>
  <c r="G19" i="3" s="1"/>
  <c r="G20" i="3" s="1"/>
  <c r="G21" i="3" s="1"/>
  <c r="G22" i="3" s="1"/>
  <c r="I14" i="3"/>
  <c r="F55" i="3"/>
  <c r="F31" i="3"/>
  <c r="F32" i="3" s="1"/>
  <c r="F34" i="3"/>
  <c r="F39" i="3" s="1"/>
  <c r="I39" i="3" s="1"/>
  <c r="G207" i="7"/>
  <c r="G206" i="7"/>
  <c r="G6" i="7"/>
  <c r="G7" i="7"/>
  <c r="G5" i="7"/>
  <c r="G4" i="7"/>
  <c r="E68" i="7"/>
  <c r="E69" i="7"/>
  <c r="E70" i="7"/>
  <c r="E71" i="7"/>
  <c r="E72" i="7"/>
  <c r="E73" i="7"/>
  <c r="E74" i="7"/>
  <c r="E75" i="7"/>
  <c r="E76" i="7"/>
  <c r="G331" i="7"/>
  <c r="G330" i="7"/>
  <c r="G329" i="7"/>
  <c r="G328" i="7"/>
  <c r="G327" i="7"/>
  <c r="G326" i="7"/>
  <c r="G325" i="7"/>
  <c r="G324" i="7"/>
  <c r="G323" i="7"/>
  <c r="G322" i="7"/>
  <c r="G321" i="7"/>
  <c r="G292" i="7"/>
  <c r="G291" i="7"/>
  <c r="G290" i="7"/>
  <c r="G289" i="7"/>
  <c r="G288" i="7"/>
  <c r="G287" i="7"/>
  <c r="G286" i="7"/>
  <c r="G285" i="7"/>
  <c r="G284" i="7"/>
  <c r="G283" i="7"/>
  <c r="G282" i="7"/>
  <c r="G253" i="7"/>
  <c r="G252" i="7"/>
  <c r="G251" i="7"/>
  <c r="G250" i="7"/>
  <c r="G249" i="7"/>
  <c r="G248" i="7"/>
  <c r="G247" i="7"/>
  <c r="G246" i="7"/>
  <c r="G245" i="7"/>
  <c r="G244" i="7"/>
  <c r="G243" i="7"/>
  <c r="G214" i="7"/>
  <c r="G213" i="7"/>
  <c r="G212" i="7"/>
  <c r="G211" i="7"/>
  <c r="G210" i="7"/>
  <c r="G209" i="7"/>
  <c r="G208" i="7"/>
  <c r="G205" i="7"/>
  <c r="G204" i="7"/>
  <c r="G58" i="7"/>
  <c r="G57" i="7"/>
  <c r="G56" i="7"/>
  <c r="G55" i="7"/>
  <c r="G54" i="7"/>
  <c r="G53" i="7"/>
  <c r="G52" i="7"/>
  <c r="G51" i="7"/>
  <c r="G50" i="7"/>
  <c r="G49" i="7"/>
  <c r="G48" i="7"/>
  <c r="I309" i="5"/>
  <c r="I308" i="5"/>
  <c r="I307" i="5"/>
  <c r="I306" i="5"/>
  <c r="K305" i="5"/>
  <c r="G19" i="7"/>
  <c r="G18" i="7"/>
  <c r="G17" i="7"/>
  <c r="G16" i="7"/>
  <c r="G15" i="7"/>
  <c r="G14" i="7"/>
  <c r="G13" i="7"/>
  <c r="G12" i="7"/>
  <c r="G11" i="7"/>
  <c r="G10" i="7"/>
  <c r="G9" i="7"/>
  <c r="G3" i="7"/>
  <c r="G669" i="5"/>
  <c r="G668" i="5"/>
  <c r="G667" i="5"/>
  <c r="G666" i="5"/>
  <c r="G646" i="5"/>
  <c r="G645" i="5"/>
  <c r="G644" i="5"/>
  <c r="G643" i="5"/>
  <c r="G622" i="5"/>
  <c r="G621" i="5"/>
  <c r="G620" i="5"/>
  <c r="G619" i="5"/>
  <c r="G618" i="5"/>
  <c r="G617" i="5"/>
  <c r="G616" i="5"/>
  <c r="E615" i="5"/>
  <c r="G615" i="5" s="1"/>
  <c r="E612" i="5"/>
  <c r="E611" i="5"/>
  <c r="G595" i="5"/>
  <c r="G594" i="5"/>
  <c r="G593" i="5"/>
  <c r="G592" i="5"/>
  <c r="G591" i="5"/>
  <c r="G590" i="5"/>
  <c r="G589" i="5"/>
  <c r="E588" i="5"/>
  <c r="G588" i="5" s="1"/>
  <c r="G536" i="5"/>
  <c r="G535" i="5"/>
  <c r="G534" i="5"/>
  <c r="G533" i="5"/>
  <c r="G532" i="5"/>
  <c r="G531" i="5"/>
  <c r="G530" i="5"/>
  <c r="E529" i="5"/>
  <c r="G529" i="5" s="1"/>
  <c r="G509" i="5"/>
  <c r="G508" i="5"/>
  <c r="G507" i="5"/>
  <c r="G506" i="5"/>
  <c r="G505" i="5"/>
  <c r="G504" i="5"/>
  <c r="G503" i="5"/>
  <c r="E502" i="5"/>
  <c r="G502" i="5" s="1"/>
  <c r="E499" i="5"/>
  <c r="E498" i="5"/>
  <c r="G481" i="5"/>
  <c r="G480" i="5"/>
  <c r="G479" i="5"/>
  <c r="G478" i="5"/>
  <c r="G477" i="5"/>
  <c r="G476" i="5"/>
  <c r="G475" i="5"/>
  <c r="E471" i="5"/>
  <c r="G416" i="5"/>
  <c r="G415" i="5"/>
  <c r="G414" i="5"/>
  <c r="G413" i="5"/>
  <c r="G412" i="5"/>
  <c r="G411" i="5"/>
  <c r="G410" i="5"/>
  <c r="E409" i="5"/>
  <c r="G409" i="5" s="1"/>
  <c r="E406" i="5"/>
  <c r="E405" i="5"/>
  <c r="G388" i="5"/>
  <c r="G387" i="5"/>
  <c r="G386" i="5"/>
  <c r="F384" i="5"/>
  <c r="F383" i="5"/>
  <c r="F382" i="5"/>
  <c r="E108" i="7" l="1"/>
  <c r="E147" i="7" s="1"/>
  <c r="E186" i="7"/>
  <c r="E225" i="7" s="1"/>
  <c r="E264" i="7" s="1"/>
  <c r="E303" i="7" s="1"/>
  <c r="E342" i="7" s="1"/>
  <c r="E381" i="7" s="1"/>
  <c r="E193" i="7"/>
  <c r="E232" i="7" s="1"/>
  <c r="E271" i="7" s="1"/>
  <c r="E310" i="7" s="1"/>
  <c r="E349" i="7" s="1"/>
  <c r="E388" i="7" s="1"/>
  <c r="E115" i="7"/>
  <c r="E154" i="7" s="1"/>
  <c r="E107" i="7"/>
  <c r="E146" i="7" s="1"/>
  <c r="E185" i="7"/>
  <c r="E224" i="7" s="1"/>
  <c r="E263" i="7" s="1"/>
  <c r="E302" i="7" s="1"/>
  <c r="E341" i="7" s="1"/>
  <c r="E380" i="7" s="1"/>
  <c r="E192" i="7"/>
  <c r="E231" i="7" s="1"/>
  <c r="E270" i="7" s="1"/>
  <c r="E309" i="7" s="1"/>
  <c r="E348" i="7" s="1"/>
  <c r="E387" i="7" s="1"/>
  <c r="E114" i="7"/>
  <c r="E153" i="7" s="1"/>
  <c r="E113" i="7"/>
  <c r="E152" i="7" s="1"/>
  <c r="E191" i="7"/>
  <c r="E230" i="7" s="1"/>
  <c r="E269" i="7" s="1"/>
  <c r="E308" i="7" s="1"/>
  <c r="E347" i="7" s="1"/>
  <c r="E386" i="7" s="1"/>
  <c r="E112" i="7"/>
  <c r="E151" i="7" s="1"/>
  <c r="E190" i="7"/>
  <c r="E229" i="7" s="1"/>
  <c r="E268" i="7" s="1"/>
  <c r="E307" i="7" s="1"/>
  <c r="E346" i="7" s="1"/>
  <c r="E385" i="7" s="1"/>
  <c r="E189" i="7"/>
  <c r="E228" i="7" s="1"/>
  <c r="E267" i="7" s="1"/>
  <c r="E306" i="7" s="1"/>
  <c r="E345" i="7" s="1"/>
  <c r="E384" i="7" s="1"/>
  <c r="E111" i="7"/>
  <c r="E150" i="7" s="1"/>
  <c r="E110" i="7"/>
  <c r="E149" i="7" s="1"/>
  <c r="E188" i="7"/>
  <c r="E227" i="7" s="1"/>
  <c r="E266" i="7" s="1"/>
  <c r="E305" i="7" s="1"/>
  <c r="E344" i="7" s="1"/>
  <c r="E383" i="7" s="1"/>
  <c r="E422" i="7" s="1"/>
  <c r="G422" i="7" s="1"/>
  <c r="G424" i="7" s="1"/>
  <c r="E109" i="7"/>
  <c r="E148" i="7" s="1"/>
  <c r="E187" i="7"/>
  <c r="E226" i="7" s="1"/>
  <c r="E265" i="7" s="1"/>
  <c r="E304" i="7" s="1"/>
  <c r="E343" i="7" s="1"/>
  <c r="E382" i="7" s="1"/>
  <c r="D22" i="3"/>
  <c r="G335" i="7"/>
  <c r="G338" i="7" s="1"/>
  <c r="G296" i="7"/>
  <c r="G299" i="7" s="1"/>
  <c r="G257" i="7"/>
  <c r="G260" i="7" s="1"/>
  <c r="G218" i="7"/>
  <c r="G221" i="7" s="1"/>
  <c r="F43" i="7"/>
  <c r="F44" i="7"/>
  <c r="F45" i="7"/>
  <c r="F42" i="7"/>
  <c r="F46" i="7"/>
  <c r="G62" i="7"/>
  <c r="G65" i="7" s="1"/>
  <c r="R310" i="5"/>
  <c r="G23" i="7"/>
  <c r="G26" i="7" s="1"/>
  <c r="G8" i="7"/>
  <c r="G25" i="7" s="1"/>
  <c r="G389" i="5"/>
  <c r="G391" i="5" s="1"/>
  <c r="G623" i="5"/>
  <c r="G625" i="5" s="1"/>
  <c r="G417" i="5"/>
  <c r="G419" i="5" s="1"/>
  <c r="G647" i="5"/>
  <c r="G649" i="5" s="1"/>
  <c r="G670" i="5"/>
  <c r="G672" i="5" s="1"/>
  <c r="G482" i="5"/>
  <c r="G484" i="5" s="1"/>
  <c r="G510" i="5"/>
  <c r="G512" i="5" s="1"/>
  <c r="G537" i="5"/>
  <c r="G539" i="5" s="1"/>
  <c r="G596" i="5"/>
  <c r="G598" i="5" s="1"/>
  <c r="G383" i="5"/>
  <c r="F406" i="5"/>
  <c r="F472" i="5" s="1"/>
  <c r="F405" i="5"/>
  <c r="G382" i="5"/>
  <c r="G384" i="5"/>
  <c r="F407" i="5"/>
  <c r="G426" i="7" l="1"/>
  <c r="G425" i="7"/>
  <c r="F85" i="7"/>
  <c r="F163" i="7"/>
  <c r="G163" i="7" s="1"/>
  <c r="F160" i="7"/>
  <c r="G160" i="7" s="1"/>
  <c r="F82" i="7"/>
  <c r="F81" i="7"/>
  <c r="F159" i="7"/>
  <c r="G159" i="7" s="1"/>
  <c r="F84" i="7"/>
  <c r="F162" i="7"/>
  <c r="G162" i="7" s="1"/>
  <c r="F83" i="7"/>
  <c r="F161" i="7"/>
  <c r="G161" i="7" s="1"/>
  <c r="E19" i="3"/>
  <c r="F19" i="3" s="1"/>
  <c r="G44" i="7"/>
  <c r="Z320" i="5"/>
  <c r="G46" i="7"/>
  <c r="G43" i="7"/>
  <c r="G42" i="7"/>
  <c r="G45" i="7"/>
  <c r="G28" i="7"/>
  <c r="F471" i="5"/>
  <c r="G405" i="5"/>
  <c r="G472" i="5"/>
  <c r="F499" i="5"/>
  <c r="F473" i="5"/>
  <c r="G407" i="5"/>
  <c r="G385" i="5"/>
  <c r="G392" i="5" s="1"/>
  <c r="G406" i="5"/>
  <c r="G429" i="7" l="1"/>
  <c r="K429" i="7"/>
  <c r="F18" i="11" s="1"/>
  <c r="G29" i="7"/>
  <c r="G30" i="7" s="1"/>
  <c r="G33" i="7" s="1"/>
  <c r="I28" i="7"/>
  <c r="G84" i="7"/>
  <c r="F123" i="7"/>
  <c r="G123" i="7" s="1"/>
  <c r="G81" i="7"/>
  <c r="F120" i="7"/>
  <c r="G120" i="7" s="1"/>
  <c r="G82" i="7"/>
  <c r="F121" i="7"/>
  <c r="G121" i="7" s="1"/>
  <c r="G83" i="7"/>
  <c r="F122" i="7"/>
  <c r="G122" i="7" s="1"/>
  <c r="G85" i="7"/>
  <c r="F124" i="7"/>
  <c r="G124" i="7" s="1"/>
  <c r="G164" i="7"/>
  <c r="G181" i="7" s="1"/>
  <c r="G184" i="7" s="1"/>
  <c r="I19" i="3"/>
  <c r="H19" i="3"/>
  <c r="F199" i="7"/>
  <c r="F198" i="7"/>
  <c r="F200" i="7"/>
  <c r="F201" i="7"/>
  <c r="G47" i="7"/>
  <c r="F202" i="7"/>
  <c r="F526" i="5"/>
  <c r="G499" i="5"/>
  <c r="G408" i="5"/>
  <c r="G420" i="5" s="1"/>
  <c r="G394" i="5"/>
  <c r="F500" i="5"/>
  <c r="G473" i="5"/>
  <c r="F498" i="5"/>
  <c r="G471" i="5"/>
  <c r="G32" i="7" l="1"/>
  <c r="G31" i="7"/>
  <c r="G34" i="7" s="1"/>
  <c r="G36" i="7" s="1"/>
  <c r="G185" i="7"/>
  <c r="G186" i="7" s="1"/>
  <c r="G187" i="7" s="1"/>
  <c r="I184" i="7"/>
  <c r="G86" i="7"/>
  <c r="G103" i="7" s="1"/>
  <c r="G106" i="7" s="1"/>
  <c r="G125" i="7"/>
  <c r="G142" i="7" s="1"/>
  <c r="G145" i="7" s="1"/>
  <c r="G146" i="7" s="1"/>
  <c r="G147" i="7" s="1"/>
  <c r="F240" i="7"/>
  <c r="G201" i="7"/>
  <c r="G202" i="7"/>
  <c r="F241" i="7"/>
  <c r="G198" i="7"/>
  <c r="F237" i="7"/>
  <c r="G200" i="7"/>
  <c r="F239" i="7"/>
  <c r="G64" i="7"/>
  <c r="G67" i="7" s="1"/>
  <c r="G68" i="7" s="1"/>
  <c r="T305" i="5"/>
  <c r="V305" i="5" s="1"/>
  <c r="G199" i="7"/>
  <c r="F238" i="7"/>
  <c r="G37" i="7"/>
  <c r="G474" i="5"/>
  <c r="G485" i="5" s="1"/>
  <c r="G487" i="5" s="1"/>
  <c r="G500" i="5"/>
  <c r="F527" i="5"/>
  <c r="F525" i="5"/>
  <c r="G498" i="5"/>
  <c r="H394" i="5"/>
  <c r="G395" i="5"/>
  <c r="G422" i="5"/>
  <c r="F585" i="5"/>
  <c r="G526" i="5"/>
  <c r="G189" i="7" l="1"/>
  <c r="G188" i="7"/>
  <c r="G107" i="7"/>
  <c r="G108" i="7" s="1"/>
  <c r="G111" i="7" s="1"/>
  <c r="I106" i="7"/>
  <c r="G150" i="7"/>
  <c r="G148" i="7"/>
  <c r="G149" i="7"/>
  <c r="G115" i="7"/>
  <c r="G241" i="7"/>
  <c r="F280" i="7"/>
  <c r="G240" i="7"/>
  <c r="F279" i="7"/>
  <c r="G239" i="7"/>
  <c r="F278" i="7"/>
  <c r="G238" i="7"/>
  <c r="F277" i="7"/>
  <c r="G237" i="7"/>
  <c r="F276" i="7"/>
  <c r="G69" i="7"/>
  <c r="AA326" i="5"/>
  <c r="J326" i="5"/>
  <c r="L326" i="5" s="1"/>
  <c r="G203" i="7"/>
  <c r="G501" i="5"/>
  <c r="G513" i="5" s="1"/>
  <c r="G515" i="5" s="1"/>
  <c r="G35" i="7"/>
  <c r="G396" i="5"/>
  <c r="G585" i="5"/>
  <c r="F612" i="5"/>
  <c r="G525" i="5"/>
  <c r="F584" i="5"/>
  <c r="G527" i="5"/>
  <c r="F586" i="5"/>
  <c r="H422" i="5"/>
  <c r="G423" i="5"/>
  <c r="G488" i="5"/>
  <c r="H487" i="5"/>
  <c r="G190" i="7" l="1"/>
  <c r="G109" i="7"/>
  <c r="G110" i="7"/>
  <c r="G151" i="7"/>
  <c r="G154" i="7"/>
  <c r="G192" i="7"/>
  <c r="G191" i="7"/>
  <c r="G39" i="7"/>
  <c r="K39" i="7" s="1"/>
  <c r="G242" i="7"/>
  <c r="G259" i="7" s="1"/>
  <c r="G262" i="7" s="1"/>
  <c r="G263" i="7" s="1"/>
  <c r="G264" i="7" s="1"/>
  <c r="G265" i="7" s="1"/>
  <c r="G220" i="7"/>
  <c r="G223" i="7" s="1"/>
  <c r="G280" i="7"/>
  <c r="F319" i="7"/>
  <c r="F318" i="7"/>
  <c r="G279" i="7"/>
  <c r="F317" i="7"/>
  <c r="G278" i="7"/>
  <c r="F316" i="7"/>
  <c r="G277" i="7"/>
  <c r="G276" i="7"/>
  <c r="F315" i="7"/>
  <c r="G72" i="7"/>
  <c r="G71" i="7"/>
  <c r="G70" i="7"/>
  <c r="G193" i="7"/>
  <c r="G528" i="5"/>
  <c r="G540" i="5" s="1"/>
  <c r="G542" i="5" s="1"/>
  <c r="G424" i="5"/>
  <c r="G584" i="5"/>
  <c r="F611" i="5"/>
  <c r="F613" i="5"/>
  <c r="G586" i="5"/>
  <c r="F640" i="5"/>
  <c r="G612" i="5"/>
  <c r="H515" i="5"/>
  <c r="G516" i="5"/>
  <c r="G489" i="5"/>
  <c r="G398" i="5"/>
  <c r="G401" i="5" s="1"/>
  <c r="J401" i="5" s="1"/>
  <c r="G397" i="5"/>
  <c r="G112" i="7" l="1"/>
  <c r="G224" i="7"/>
  <c r="G225" i="7" s="1"/>
  <c r="G228" i="7" s="1"/>
  <c r="G232" i="7" s="1"/>
  <c r="I223" i="7"/>
  <c r="G114" i="7"/>
  <c r="G113" i="7"/>
  <c r="G153" i="7"/>
  <c r="G152" i="7"/>
  <c r="G319" i="7"/>
  <c r="F358" i="7"/>
  <c r="G358" i="7" s="1"/>
  <c r="G318" i="7"/>
  <c r="F357" i="7"/>
  <c r="G357" i="7" s="1"/>
  <c r="G317" i="7"/>
  <c r="F356" i="7"/>
  <c r="G356" i="7" s="1"/>
  <c r="G316" i="7"/>
  <c r="F355" i="7"/>
  <c r="G355" i="7" s="1"/>
  <c r="G315" i="7"/>
  <c r="F354" i="7"/>
  <c r="G354" i="7" s="1"/>
  <c r="G267" i="7"/>
  <c r="G271" i="7" s="1"/>
  <c r="G266" i="7"/>
  <c r="G226" i="7"/>
  <c r="G227" i="7"/>
  <c r="G281" i="7"/>
  <c r="AB328" i="5"/>
  <c r="J328" i="5"/>
  <c r="M328" i="5" s="1"/>
  <c r="J329" i="5"/>
  <c r="N329" i="5" s="1"/>
  <c r="AC329" i="5"/>
  <c r="G73" i="7"/>
  <c r="G76" i="7"/>
  <c r="AD330" i="5"/>
  <c r="J330" i="5"/>
  <c r="O330" i="5" s="1"/>
  <c r="W330" i="5"/>
  <c r="Y330" i="5" s="1"/>
  <c r="G400" i="5"/>
  <c r="I400" i="5" s="1"/>
  <c r="F639" i="5"/>
  <c r="G611" i="5"/>
  <c r="G613" i="5"/>
  <c r="F641" i="5"/>
  <c r="G587" i="5"/>
  <c r="G599" i="5" s="1"/>
  <c r="G543" i="5"/>
  <c r="H542" i="5"/>
  <c r="G517" i="5"/>
  <c r="G399" i="5"/>
  <c r="G491" i="5"/>
  <c r="G494" i="5" s="1"/>
  <c r="J494" i="5" s="1"/>
  <c r="G490" i="5"/>
  <c r="F663" i="5"/>
  <c r="G663" i="5" s="1"/>
  <c r="G640" i="5"/>
  <c r="G425" i="5"/>
  <c r="G426" i="5"/>
  <c r="G429" i="5" s="1"/>
  <c r="J429" i="5" s="1"/>
  <c r="G117" i="7" l="1"/>
  <c r="K117" i="7" s="1"/>
  <c r="G156" i="7"/>
  <c r="G320" i="7"/>
  <c r="G337" i="7" s="1"/>
  <c r="G340" i="7" s="1"/>
  <c r="G341" i="7" s="1"/>
  <c r="G342" i="7" s="1"/>
  <c r="G343" i="7" s="1"/>
  <c r="G359" i="7"/>
  <c r="G376" i="7" s="1"/>
  <c r="G379" i="7" s="1"/>
  <c r="G380" i="7" s="1"/>
  <c r="G381" i="7" s="1"/>
  <c r="G384" i="7" s="1"/>
  <c r="G268" i="7"/>
  <c r="G195" i="7"/>
  <c r="G229" i="7"/>
  <c r="G298" i="7"/>
  <c r="G301" i="7" s="1"/>
  <c r="G302" i="7" s="1"/>
  <c r="G303" i="7" s="1"/>
  <c r="G306" i="7" s="1"/>
  <c r="G74" i="7"/>
  <c r="G75" i="7"/>
  <c r="J334" i="5"/>
  <c r="Q334" i="5" s="1"/>
  <c r="AF334" i="5"/>
  <c r="G493" i="5"/>
  <c r="I493" i="5" s="1"/>
  <c r="G402" i="5"/>
  <c r="G428" i="5"/>
  <c r="I428" i="5" s="1"/>
  <c r="F664" i="5"/>
  <c r="G641" i="5"/>
  <c r="G519" i="5"/>
  <c r="G522" i="5" s="1"/>
  <c r="J522" i="5" s="1"/>
  <c r="G518" i="5"/>
  <c r="G427" i="5"/>
  <c r="G544" i="5"/>
  <c r="G614" i="5"/>
  <c r="G626" i="5" s="1"/>
  <c r="G492" i="5"/>
  <c r="G495" i="5" s="1"/>
  <c r="G601" i="5"/>
  <c r="F662" i="5"/>
  <c r="G662" i="5" s="1"/>
  <c r="G665" i="5" s="1"/>
  <c r="G673" i="5" s="1"/>
  <c r="G639" i="5"/>
  <c r="K156" i="7" l="1"/>
  <c r="K195" i="7"/>
  <c r="E19" i="11" s="1"/>
  <c r="F19" i="11" s="1"/>
  <c r="G345" i="7"/>
  <c r="G349" i="7" s="1"/>
  <c r="G344" i="7"/>
  <c r="G382" i="7"/>
  <c r="G383" i="7"/>
  <c r="G388" i="7"/>
  <c r="E17" i="3"/>
  <c r="F17" i="3" s="1"/>
  <c r="H17" i="3" s="1"/>
  <c r="G270" i="7"/>
  <c r="G269" i="7"/>
  <c r="G230" i="7"/>
  <c r="G231" i="7"/>
  <c r="G304" i="7"/>
  <c r="G305" i="7"/>
  <c r="G310" i="7"/>
  <c r="J333" i="5"/>
  <c r="P333" i="5" s="1"/>
  <c r="AE333" i="5"/>
  <c r="G78" i="7"/>
  <c r="K78" i="7" s="1"/>
  <c r="G521" i="5"/>
  <c r="I521" i="5" s="1"/>
  <c r="G642" i="5"/>
  <c r="G650" i="5" s="1"/>
  <c r="G652" i="5" s="1"/>
  <c r="G430" i="5"/>
  <c r="G546" i="5"/>
  <c r="G549" i="5" s="1"/>
  <c r="J549" i="5" s="1"/>
  <c r="G545" i="5"/>
  <c r="G602" i="5"/>
  <c r="H601" i="5"/>
  <c r="G675" i="5"/>
  <c r="G628" i="5"/>
  <c r="G520" i="5"/>
  <c r="G523" i="5" s="1"/>
  <c r="G385" i="7" l="1"/>
  <c r="G386" i="7" s="1"/>
  <c r="G346" i="7"/>
  <c r="G273" i="7"/>
  <c r="K273" i="7" s="1"/>
  <c r="G234" i="7"/>
  <c r="K234" i="7" s="1"/>
  <c r="E20" i="11" s="1"/>
  <c r="F20" i="11" s="1"/>
  <c r="G307" i="7"/>
  <c r="I338" i="5"/>
  <c r="G548" i="5"/>
  <c r="I548" i="5" s="1"/>
  <c r="G547" i="5"/>
  <c r="G550" i="5" s="1"/>
  <c r="G629" i="5"/>
  <c r="H628" i="5"/>
  <c r="G603" i="5"/>
  <c r="G676" i="5"/>
  <c r="H675" i="5"/>
  <c r="G653" i="5"/>
  <c r="H652" i="5"/>
  <c r="G387" i="7" l="1"/>
  <c r="G390" i="7" s="1"/>
  <c r="K390" i="7" s="1"/>
  <c r="E23" i="11" s="1"/>
  <c r="F23" i="11" s="1"/>
  <c r="G348" i="7"/>
  <c r="G347" i="7"/>
  <c r="E18" i="3"/>
  <c r="F18" i="3" s="1"/>
  <c r="H18" i="3" s="1"/>
  <c r="E16" i="3"/>
  <c r="F16" i="3" s="1"/>
  <c r="E20" i="3"/>
  <c r="F20" i="3" s="1"/>
  <c r="H20" i="3" s="1"/>
  <c r="G308" i="7"/>
  <c r="G309" i="7"/>
  <c r="G654" i="5"/>
  <c r="G605" i="5"/>
  <c r="G608" i="5" s="1"/>
  <c r="J608" i="5" s="1"/>
  <c r="G604" i="5"/>
  <c r="G677" i="5"/>
  <c r="G630" i="5"/>
  <c r="G351" i="7" l="1"/>
  <c r="M390" i="7"/>
  <c r="I16" i="3"/>
  <c r="H16" i="3"/>
  <c r="O1" i="7"/>
  <c r="G312" i="7"/>
  <c r="K312" i="7" s="1"/>
  <c r="E21" i="11" s="1"/>
  <c r="F21" i="11" s="1"/>
  <c r="G607" i="5"/>
  <c r="I607" i="5" s="1"/>
  <c r="G679" i="5"/>
  <c r="G682" i="5" s="1"/>
  <c r="J682" i="5" s="1"/>
  <c r="G678" i="5"/>
  <c r="G632" i="5"/>
  <c r="G635" i="5" s="1"/>
  <c r="J635" i="5" s="1"/>
  <c r="G631" i="5"/>
  <c r="G606" i="5"/>
  <c r="G655" i="5"/>
  <c r="G656" i="5"/>
  <c r="G659" i="5" s="1"/>
  <c r="J659" i="5" s="1"/>
  <c r="E22" i="3" l="1"/>
  <c r="F22" i="3" s="1"/>
  <c r="H22" i="3" s="1"/>
  <c r="K351" i="7"/>
  <c r="E22" i="11" s="1"/>
  <c r="F22" i="11" s="1"/>
  <c r="F24" i="11" s="1"/>
  <c r="E21" i="3"/>
  <c r="F21" i="3" s="1"/>
  <c r="I23" i="3"/>
  <c r="G658" i="5"/>
  <c r="I658" i="5" s="1"/>
  <c r="G680" i="5"/>
  <c r="G609" i="5"/>
  <c r="G681" i="5"/>
  <c r="I681" i="5" s="1"/>
  <c r="G657" i="5"/>
  <c r="G660" i="5" s="1"/>
  <c r="G633" i="5"/>
  <c r="G634" i="5"/>
  <c r="I634" i="5" s="1"/>
  <c r="H21" i="3" l="1"/>
  <c r="H60" i="3" s="1"/>
  <c r="F23" i="3"/>
  <c r="G683" i="5"/>
  <c r="G636" i="5"/>
  <c r="F60" i="3" l="1"/>
  <c r="J60" i="3" s="1"/>
  <c r="H26" i="3"/>
  <c r="H63" i="3" l="1"/>
  <c r="I63" i="3" s="1"/>
  <c r="F5" i="3"/>
  <c r="I5" i="3"/>
  <c r="J5" i="3" s="1"/>
  <c r="F67" i="3"/>
  <c r="F68" i="3" s="1"/>
  <c r="I6" i="3" s="1"/>
  <c r="I58" i="3"/>
  <c r="I60" i="3"/>
  <c r="J58" i="3" l="1"/>
  <c r="I68" i="3"/>
  <c r="J68" i="3" l="1"/>
  <c r="K68" i="3" s="1"/>
  <c r="I70" i="3"/>
  <c r="J70" i="3" s="1"/>
  <c r="K70" i="3" s="1"/>
  <c r="M7" i="6"/>
  <c r="N7" i="6" s="1"/>
  <c r="M6" i="6"/>
  <c r="N6" i="6" s="1"/>
  <c r="L9" i="6"/>
  <c r="L10" i="6" s="1"/>
  <c r="M8" i="6"/>
  <c r="N8" i="6" s="1"/>
  <c r="G10" i="6"/>
  <c r="G11" i="6"/>
  <c r="G12" i="6"/>
  <c r="G13" i="6"/>
  <c r="G14" i="6"/>
  <c r="G15" i="6"/>
  <c r="G16" i="6"/>
  <c r="G17" i="6"/>
  <c r="G18" i="6"/>
  <c r="G8" i="6"/>
  <c r="G7" i="6"/>
  <c r="G6" i="6"/>
  <c r="E9" i="6"/>
  <c r="E10" i="6" s="1"/>
  <c r="F9" i="6"/>
  <c r="G9" i="6" s="1"/>
  <c r="G20" i="6" s="1"/>
  <c r="F8" i="6"/>
  <c r="I18" i="6"/>
  <c r="K18" i="6" s="1"/>
  <c r="D18" i="6"/>
  <c r="I17" i="6"/>
  <c r="K17" i="6" s="1"/>
  <c r="D17" i="6"/>
  <c r="I16" i="6"/>
  <c r="K16" i="6" s="1"/>
  <c r="D16" i="6"/>
  <c r="I15" i="6"/>
  <c r="K15" i="6" s="1"/>
  <c r="D15" i="6"/>
  <c r="I14" i="6"/>
  <c r="K14" i="6" s="1"/>
  <c r="D14" i="6"/>
  <c r="I13" i="6"/>
  <c r="K13" i="6" s="1"/>
  <c r="D13" i="6"/>
  <c r="I12" i="6"/>
  <c r="K12" i="6" s="1"/>
  <c r="D12" i="6"/>
  <c r="I11" i="6"/>
  <c r="K11" i="6" s="1"/>
  <c r="D11" i="6"/>
  <c r="I10" i="6"/>
  <c r="K10" i="6" s="1"/>
  <c r="D10" i="6"/>
  <c r="I9" i="6"/>
  <c r="K9" i="6" s="1"/>
  <c r="D9" i="6"/>
  <c r="I8" i="6"/>
  <c r="K8" i="6" s="1"/>
  <c r="D8" i="6"/>
  <c r="I7" i="6"/>
  <c r="K7" i="6" s="1"/>
  <c r="D7" i="6"/>
  <c r="I6" i="6"/>
  <c r="K6" i="6" s="1"/>
  <c r="D6" i="6"/>
  <c r="M10" i="6" l="1"/>
  <c r="N10" i="6" s="1"/>
  <c r="L11" i="6"/>
  <c r="M9" i="6"/>
  <c r="N9" i="6" s="1"/>
  <c r="E11" i="6"/>
  <c r="F11" i="6" s="1"/>
  <c r="F10" i="6"/>
  <c r="E12" i="6"/>
  <c r="D20" i="6"/>
  <c r="K20" i="6"/>
  <c r="I111" i="5"/>
  <c r="I114" i="5"/>
  <c r="I113" i="5"/>
  <c r="I112" i="5"/>
  <c r="I289" i="5"/>
  <c r="I288" i="5"/>
  <c r="G288" i="5"/>
  <c r="G289" i="5"/>
  <c r="G121" i="5"/>
  <c r="G120" i="5"/>
  <c r="G119" i="5"/>
  <c r="G118" i="5"/>
  <c r="G117" i="5"/>
  <c r="G116" i="5"/>
  <c r="G115" i="5"/>
  <c r="G114" i="5"/>
  <c r="G113" i="5"/>
  <c r="G112" i="5"/>
  <c r="G111" i="5"/>
  <c r="K110" i="5"/>
  <c r="G99" i="5"/>
  <c r="G98" i="5"/>
  <c r="G97" i="5"/>
  <c r="G96" i="5"/>
  <c r="F94" i="5"/>
  <c r="F93" i="5"/>
  <c r="F92" i="5"/>
  <c r="G93" i="5" l="1"/>
  <c r="G92" i="5"/>
  <c r="P9" i="6"/>
  <c r="G100" i="5"/>
  <c r="G95" i="5"/>
  <c r="M11" i="6"/>
  <c r="N11" i="6" s="1"/>
  <c r="L12" i="6"/>
  <c r="E13" i="6"/>
  <c r="F12" i="6"/>
  <c r="R115" i="5"/>
  <c r="G125" i="5"/>
  <c r="G128" i="5" s="1"/>
  <c r="I287" i="5" s="1"/>
  <c r="I293" i="5" s="1"/>
  <c r="L13" i="6" l="1"/>
  <c r="M12" i="6"/>
  <c r="N12" i="6" s="1"/>
  <c r="E14" i="6"/>
  <c r="F13" i="6"/>
  <c r="Z125" i="5"/>
  <c r="M13" i="6" l="1"/>
  <c r="N13" i="6" s="1"/>
  <c r="L14" i="6"/>
  <c r="E15" i="6"/>
  <c r="F14" i="6"/>
  <c r="L15" i="6" l="1"/>
  <c r="M14" i="6"/>
  <c r="N14" i="6" s="1"/>
  <c r="F15" i="6"/>
  <c r="E16" i="6"/>
  <c r="M15" i="6" l="1"/>
  <c r="N15" i="6" s="1"/>
  <c r="L16" i="6"/>
  <c r="F16" i="6"/>
  <c r="E17" i="6"/>
  <c r="L17" i="6" l="1"/>
  <c r="M16" i="6"/>
  <c r="N16" i="6" s="1"/>
  <c r="E18" i="6"/>
  <c r="F18" i="6" s="1"/>
  <c r="F17" i="6"/>
  <c r="J14" i="5"/>
  <c r="J15" i="5" s="1"/>
  <c r="M17" i="6" l="1"/>
  <c r="N17" i="6" s="1"/>
  <c r="L18" i="6"/>
  <c r="M18" i="6" s="1"/>
  <c r="N18" i="6" s="1"/>
  <c r="N20" i="6" l="1"/>
  <c r="M22" i="6" s="1"/>
  <c r="G63" i="5" l="1"/>
  <c r="G62" i="5"/>
  <c r="G61" i="5"/>
  <c r="G60" i="5"/>
  <c r="G59" i="5"/>
  <c r="G17" i="5"/>
  <c r="G16" i="5"/>
  <c r="G15" i="5"/>
  <c r="G14" i="5"/>
  <c r="G13" i="5"/>
  <c r="G12" i="5"/>
  <c r="G11" i="5"/>
  <c r="G58" i="5"/>
  <c r="G57" i="5"/>
  <c r="G56" i="5"/>
  <c r="G55" i="5"/>
  <c r="G54" i="5"/>
  <c r="G53" i="5"/>
  <c r="K52" i="5"/>
  <c r="G24" i="5"/>
  <c r="G23" i="5"/>
  <c r="G22" i="5"/>
  <c r="G21" i="5"/>
  <c r="G20" i="5"/>
  <c r="G19" i="5"/>
  <c r="G18" i="5"/>
  <c r="K10" i="5"/>
  <c r="AO5" i="5"/>
  <c r="AK5" i="5"/>
  <c r="AO4" i="5"/>
  <c r="AK4" i="5"/>
  <c r="AO3" i="5"/>
  <c r="AK3" i="5"/>
  <c r="G25" i="5" l="1"/>
  <c r="G28" i="5" s="1"/>
  <c r="AQ4" i="5"/>
  <c r="AK7" i="5"/>
  <c r="R15" i="5"/>
  <c r="AO7" i="5"/>
  <c r="AQ5" i="5"/>
  <c r="G67" i="5"/>
  <c r="G70" i="5" s="1"/>
  <c r="R57" i="5"/>
  <c r="AQ3" i="5"/>
  <c r="Z25" i="5" l="1"/>
  <c r="AQ7" i="5"/>
  <c r="AR7" i="5" s="1"/>
  <c r="R3" i="5"/>
  <c r="Z67" i="5"/>
  <c r="Z3" i="5" l="1"/>
  <c r="G6" i="5"/>
  <c r="F48" i="5"/>
  <c r="F106" i="5" s="1"/>
  <c r="G5" i="5"/>
  <c r="F47" i="5"/>
  <c r="F105" i="5" s="1"/>
  <c r="F50" i="5"/>
  <c r="F108" i="5" s="1"/>
  <c r="G8" i="5"/>
  <c r="F51" i="5"/>
  <c r="F109" i="5" s="1"/>
  <c r="G9" i="5"/>
  <c r="F49" i="5"/>
  <c r="F107" i="5" s="1"/>
  <c r="G7" i="5"/>
  <c r="G109" i="5" l="1"/>
  <c r="F151" i="5"/>
  <c r="G108" i="5"/>
  <c r="F150" i="5"/>
  <c r="G107" i="5"/>
  <c r="F149" i="5"/>
  <c r="G106" i="5"/>
  <c r="F148" i="5"/>
  <c r="G105" i="5"/>
  <c r="F147" i="5"/>
  <c r="G48" i="5"/>
  <c r="G47" i="5"/>
  <c r="G10" i="5"/>
  <c r="G51" i="5"/>
  <c r="G49" i="5"/>
  <c r="G50" i="5"/>
  <c r="G110" i="5" l="1"/>
  <c r="G127" i="5" s="1"/>
  <c r="G130" i="5" s="1"/>
  <c r="G131" i="5" s="1"/>
  <c r="J131" i="5" s="1"/>
  <c r="L131" i="5" s="1"/>
  <c r="G148" i="5"/>
  <c r="F190" i="5"/>
  <c r="G149" i="5"/>
  <c r="F191" i="5"/>
  <c r="G150" i="5"/>
  <c r="F192" i="5"/>
  <c r="G147" i="5"/>
  <c r="G152" i="5" s="1"/>
  <c r="F189" i="5"/>
  <c r="G151" i="5"/>
  <c r="F193" i="5"/>
  <c r="T110" i="5"/>
  <c r="V110" i="5" s="1"/>
  <c r="G52" i="5"/>
  <c r="T52" i="5" s="1"/>
  <c r="V52" i="5" s="1"/>
  <c r="I10" i="5"/>
  <c r="G27" i="5"/>
  <c r="T10" i="5"/>
  <c r="V10" i="5" s="1"/>
  <c r="AA131" i="5" l="1"/>
  <c r="G189" i="5"/>
  <c r="F231" i="5"/>
  <c r="G231" i="5" s="1"/>
  <c r="G132" i="5"/>
  <c r="G192" i="5"/>
  <c r="F234" i="5"/>
  <c r="G234" i="5" s="1"/>
  <c r="G190" i="5"/>
  <c r="G194" i="5" s="1"/>
  <c r="F232" i="5"/>
  <c r="G232" i="5" s="1"/>
  <c r="G191" i="5"/>
  <c r="F233" i="5"/>
  <c r="G233" i="5" s="1"/>
  <c r="G193" i="5"/>
  <c r="F235" i="5"/>
  <c r="G235" i="5" s="1"/>
  <c r="T152" i="5"/>
  <c r="V152" i="5" s="1"/>
  <c r="G169" i="5"/>
  <c r="G172" i="5" s="1"/>
  <c r="G173" i="5" s="1"/>
  <c r="J173" i="5" s="1"/>
  <c r="L173" i="5" s="1"/>
  <c r="G30" i="5"/>
  <c r="G31" i="5" s="1"/>
  <c r="G32" i="5" s="1"/>
  <c r="I42" i="5"/>
  <c r="G133" i="5"/>
  <c r="G134" i="5"/>
  <c r="G135" i="5"/>
  <c r="I52" i="5"/>
  <c r="G69" i="5"/>
  <c r="G72" i="5" s="1"/>
  <c r="G73" i="5" s="1"/>
  <c r="G74" i="5" s="1"/>
  <c r="G211" i="5" l="1"/>
  <c r="G214" i="5" s="1"/>
  <c r="G215" i="5" s="1"/>
  <c r="T194" i="5"/>
  <c r="V194" i="5" s="1"/>
  <c r="AA173" i="5"/>
  <c r="AA31" i="5"/>
  <c r="G236" i="5"/>
  <c r="G174" i="5"/>
  <c r="G177" i="5" s="1"/>
  <c r="J31" i="5"/>
  <c r="L31" i="5" s="1"/>
  <c r="G216" i="5"/>
  <c r="AA215" i="5"/>
  <c r="J215" i="5"/>
  <c r="L215" i="5" s="1"/>
  <c r="AC134" i="5"/>
  <c r="J134" i="5"/>
  <c r="N134" i="5" s="1"/>
  <c r="AB133" i="5"/>
  <c r="J133" i="5"/>
  <c r="M133" i="5" s="1"/>
  <c r="G136" i="5"/>
  <c r="J135" i="5"/>
  <c r="O135" i="5" s="1"/>
  <c r="W135" i="5"/>
  <c r="Y135" i="5" s="1"/>
  <c r="AD135" i="5"/>
  <c r="G139" i="5"/>
  <c r="AA73" i="5"/>
  <c r="G76" i="5"/>
  <c r="G77" i="5"/>
  <c r="G75" i="5"/>
  <c r="J73" i="5"/>
  <c r="L73" i="5" s="1"/>
  <c r="G33" i="5"/>
  <c r="G34" i="5"/>
  <c r="G35" i="5"/>
  <c r="G176" i="5" l="1"/>
  <c r="G175" i="5"/>
  <c r="AB175" i="5" s="1"/>
  <c r="T236" i="5"/>
  <c r="V236" i="5" s="1"/>
  <c r="G253" i="5"/>
  <c r="G256" i="5" s="1"/>
  <c r="G257" i="5" s="1"/>
  <c r="G219" i="5"/>
  <c r="G217" i="5"/>
  <c r="G218" i="5"/>
  <c r="AC176" i="5"/>
  <c r="J176" i="5"/>
  <c r="N176" i="5" s="1"/>
  <c r="J175" i="5"/>
  <c r="M175" i="5" s="1"/>
  <c r="G181" i="5"/>
  <c r="W177" i="5"/>
  <c r="Y177" i="5" s="1"/>
  <c r="J177" i="5"/>
  <c r="O177" i="5" s="1"/>
  <c r="G178" i="5"/>
  <c r="AD177" i="5"/>
  <c r="G138" i="5"/>
  <c r="G141" i="5" s="1"/>
  <c r="G137" i="5"/>
  <c r="J139" i="5"/>
  <c r="Q139" i="5" s="1"/>
  <c r="AF139" i="5"/>
  <c r="G81" i="5"/>
  <c r="G78" i="5"/>
  <c r="J35" i="5"/>
  <c r="O35" i="5" s="1"/>
  <c r="G39" i="5"/>
  <c r="AD35" i="5"/>
  <c r="G36" i="5"/>
  <c r="W35" i="5"/>
  <c r="Y35" i="5" s="1"/>
  <c r="J34" i="5"/>
  <c r="N34" i="5" s="1"/>
  <c r="AC34" i="5"/>
  <c r="W77" i="5"/>
  <c r="Y77" i="5" s="1"/>
  <c r="J77" i="5"/>
  <c r="O77" i="5" s="1"/>
  <c r="AD77" i="5"/>
  <c r="AB75" i="5"/>
  <c r="J75" i="5"/>
  <c r="M75" i="5" s="1"/>
  <c r="AB33" i="5"/>
  <c r="J33" i="5"/>
  <c r="M33" i="5" s="1"/>
  <c r="J76" i="5"/>
  <c r="N76" i="5" s="1"/>
  <c r="AC76" i="5"/>
  <c r="J257" i="5" l="1"/>
  <c r="L257" i="5" s="1"/>
  <c r="G258" i="5"/>
  <c r="AA257" i="5"/>
  <c r="AC218" i="5"/>
  <c r="J218" i="5"/>
  <c r="N218" i="5" s="1"/>
  <c r="J217" i="5"/>
  <c r="M217" i="5" s="1"/>
  <c r="AB217" i="5"/>
  <c r="J219" i="5"/>
  <c r="O219" i="5" s="1"/>
  <c r="G220" i="5"/>
  <c r="AD219" i="5"/>
  <c r="G223" i="5"/>
  <c r="W219" i="5"/>
  <c r="Y219" i="5" s="1"/>
  <c r="AF181" i="5"/>
  <c r="J181" i="5"/>
  <c r="Q181" i="5" s="1"/>
  <c r="G180" i="5"/>
  <c r="G179" i="5"/>
  <c r="G183" i="5"/>
  <c r="G144" i="5"/>
  <c r="G143" i="5"/>
  <c r="G142" i="5"/>
  <c r="AE138" i="5"/>
  <c r="J138" i="5"/>
  <c r="P138" i="5" s="1"/>
  <c r="G79" i="5"/>
  <c r="G80" i="5"/>
  <c r="G84" i="5" s="1"/>
  <c r="J39" i="5"/>
  <c r="Q39" i="5" s="1"/>
  <c r="AF39" i="5"/>
  <c r="G38" i="5"/>
  <c r="G41" i="5" s="1"/>
  <c r="G37" i="5"/>
  <c r="AF81" i="5"/>
  <c r="J81" i="5"/>
  <c r="Q81" i="5" s="1"/>
  <c r="G261" i="5" l="1"/>
  <c r="G259" i="5"/>
  <c r="G260" i="5"/>
  <c r="G222" i="5"/>
  <c r="G225" i="5" s="1"/>
  <c r="G221" i="5"/>
  <c r="AF223" i="5"/>
  <c r="J223" i="5"/>
  <c r="Q223" i="5" s="1"/>
  <c r="G287" i="5"/>
  <c r="G293" i="5" s="1"/>
  <c r="I143" i="5"/>
  <c r="G186" i="5"/>
  <c r="G185" i="5"/>
  <c r="I185" i="5" s="1"/>
  <c r="G184" i="5"/>
  <c r="AE180" i="5"/>
  <c r="J180" i="5"/>
  <c r="P180" i="5" s="1"/>
  <c r="G43" i="5"/>
  <c r="I43" i="5" s="1"/>
  <c r="G83" i="5"/>
  <c r="I85" i="5" s="1"/>
  <c r="G86" i="5"/>
  <c r="G85" i="5"/>
  <c r="G42" i="5"/>
  <c r="AA3" i="5"/>
  <c r="G44" i="5"/>
  <c r="J80" i="5"/>
  <c r="P80" i="5" s="1"/>
  <c r="AE80" i="5"/>
  <c r="J38" i="5"/>
  <c r="P38" i="5" s="1"/>
  <c r="AE38" i="5"/>
  <c r="J261" i="5" l="1"/>
  <c r="O261" i="5" s="1"/>
  <c r="G265" i="5"/>
  <c r="G262" i="5"/>
  <c r="AD261" i="5"/>
  <c r="W261" i="5"/>
  <c r="Y261" i="5" s="1"/>
  <c r="AC260" i="5"/>
  <c r="J260" i="5"/>
  <c r="N260" i="5" s="1"/>
  <c r="J259" i="5"/>
  <c r="M259" i="5" s="1"/>
  <c r="AB259" i="5"/>
  <c r="J222" i="5"/>
  <c r="P222" i="5" s="1"/>
  <c r="AE222" i="5"/>
  <c r="G227" i="5"/>
  <c r="I227" i="5" s="1"/>
  <c r="G228" i="5"/>
  <c r="G226" i="5"/>
  <c r="V3" i="5"/>
  <c r="T3" i="5"/>
  <c r="G264" i="5" l="1"/>
  <c r="G263" i="5"/>
  <c r="AF265" i="5"/>
  <c r="J265" i="5"/>
  <c r="Q265" i="5" s="1"/>
  <c r="AC3" i="5"/>
  <c r="L3" i="5"/>
  <c r="AF3" i="5"/>
  <c r="AD3" i="5"/>
  <c r="AB3" i="5"/>
  <c r="J264" i="5" l="1"/>
  <c r="P264" i="5" s="1"/>
  <c r="AE264" i="5"/>
  <c r="G270" i="5"/>
  <c r="G269" i="5"/>
  <c r="G267" i="5"/>
  <c r="G268" i="5"/>
  <c r="N3" i="5"/>
  <c r="M3" i="5"/>
  <c r="Y3" i="5"/>
  <c r="I3" i="5" l="1"/>
  <c r="I269" i="5"/>
  <c r="Q3" i="5"/>
  <c r="O3" i="5"/>
  <c r="P3" i="5" l="1"/>
  <c r="J3" i="5" s="1"/>
  <c r="N1" i="5" l="1"/>
  <c r="F8" i="4" l="1"/>
  <c r="F7" i="4"/>
  <c r="C9" i="4" l="1"/>
  <c r="L22" i="4"/>
  <c r="L21" i="4"/>
  <c r="L20" i="4"/>
  <c r="L19" i="4"/>
  <c r="K9" i="4"/>
  <c r="K14" i="4" s="1"/>
  <c r="J9" i="4"/>
  <c r="J14" i="4" s="1"/>
  <c r="I9" i="4"/>
  <c r="I14" i="4" s="1"/>
  <c r="L14" i="4" l="1"/>
  <c r="F9" i="4" s="1"/>
  <c r="F10" i="4" s="1"/>
  <c r="C8" i="4"/>
  <c r="G15" i="4" l="1"/>
  <c r="F12" i="4"/>
  <c r="F13" i="4" s="1"/>
  <c r="F14" i="4" s="1"/>
  <c r="F15" i="4" s="1"/>
  <c r="F28" i="4" l="1"/>
  <c r="F20" i="4"/>
  <c r="C14" i="4"/>
  <c r="F19" i="4"/>
  <c r="C29" i="4" l="1"/>
  <c r="C28" i="4"/>
  <c r="G29" i="4"/>
  <c r="F24" i="4"/>
  <c r="F26" i="4" s="1"/>
  <c r="H26" i="4" s="1"/>
  <c r="F22" i="4"/>
  <c r="C23" i="4" l="1"/>
  <c r="C21" i="4"/>
  <c r="AE3" i="5" l="1"/>
  <c r="F16" i="11" l="1"/>
  <c r="F29" i="11" s="1"/>
  <c r="F5" i="11" s="1"/>
  <c r="G29" i="11" l="1"/>
  <c r="I29" i="11" l="1"/>
  <c r="G24" i="11"/>
  <c r="J29" i="11" l="1"/>
</calcChain>
</file>

<file path=xl/sharedStrings.xml><?xml version="1.0" encoding="utf-8"?>
<sst xmlns="http://schemas.openxmlformats.org/spreadsheetml/2006/main" count="2677" uniqueCount="443">
  <si>
    <t>1 - TAREAS PRELIMINARES</t>
  </si>
  <si>
    <t>1.1</t>
  </si>
  <si>
    <t>Gl.</t>
  </si>
  <si>
    <t>2.1</t>
  </si>
  <si>
    <r>
      <t>m</t>
    </r>
    <r>
      <rPr>
        <vertAlign val="superscript"/>
        <sz val="11"/>
        <rFont val="Calibri"/>
        <family val="2"/>
        <scheme val="minor"/>
      </rPr>
      <t>2</t>
    </r>
  </si>
  <si>
    <t>TOTAL PRESUPUESTO</t>
  </si>
  <si>
    <t>SUBTOTAL ITEM 1.-</t>
  </si>
  <si>
    <t>SUBTOTAL ITEM 2.-</t>
  </si>
  <si>
    <t>En la presente cotizacion no se incluyen valores de IVA.</t>
  </si>
  <si>
    <t>La presente cotización tiene validez por 30 días.</t>
  </si>
  <si>
    <t xml:space="preserve">FRAGMENTO TEXTO CONVENIO COLECTIVO UOCRA      "1.- Establecer un incremento salarial complementario y adicional al previsto en el acuerdo de fecha 9 de Abril de 2021 que se ratifica íntegramente y que se aplicará respecto de las distintas categorías previstas en los Convenios Colectivos de Trabajo N° 76/75 y 577/10 de la siguiente manera: Los porcentajes adicionales, aplicados sobre los salarios básicos vigentes al 31
de marzo de 2021, serán: a) 5% (cinco por ciento) a partir del mes de Septiembre de 2021; b) 5% (cinco por ciento) a partir del mes de enero de 2022 c) 2% a partir del mes de Marzo de 2022, que se aplicará sobre los salarios
básicos vigentes al 31 de marzo de 2021.
En virtud de ello, el cronograma y los porcentuales correspondiente al periodo Julio 2021 a Marzo 2022 ambos inclusive, quedará compuesto e integrado de siguiente manera, todos aplicados sobre los salarios básicos al 31 de marzo de 2021: a) Un aumento a partir del mes de Julio de 2021 del 22% (veintidós por ciento); b) Un aumento a partir del mes de Septiembre de 2021 del 27% (veintisiete por ciento): c) Un aumento a partir del mes de Octubre de 2021 del 34 % (treinta y cuatro por ciento); d) Un aumento a partir del mes de Enero de 2022 del 39 % (treinta y nueve por ciento) e) Un aumento a partir del mes de Febrero de 2022 del 45,8% (durante y cinco coma ocho por ciento); f) Un aumento a partir del mes de Marzo de 2022 del 47,8% (cuarenta y siete
coma ocho por ciento)." </t>
  </si>
  <si>
    <t xml:space="preserve">Por Mano de Obra </t>
  </si>
  <si>
    <t>ITEM</t>
  </si>
  <si>
    <t>DESCRIPCION</t>
  </si>
  <si>
    <t>UND.</t>
  </si>
  <si>
    <t>CANT.</t>
  </si>
  <si>
    <t>P. UNITARIO</t>
  </si>
  <si>
    <t>P. TOTAL ITEM</t>
  </si>
  <si>
    <t>1.2</t>
  </si>
  <si>
    <t>estructura sobre planta alta</t>
  </si>
  <si>
    <t>vigas</t>
  </si>
  <si>
    <t>columnas</t>
  </si>
  <si>
    <t>estructura sobre planta baja</t>
  </si>
  <si>
    <t>plancuelas de 1/4"</t>
  </si>
  <si>
    <t>m2</t>
  </si>
  <si>
    <t>peso</t>
  </si>
  <si>
    <t>m/l</t>
  </si>
  <si>
    <t>hierro</t>
  </si>
  <si>
    <t>barras</t>
  </si>
  <si>
    <t>alambre</t>
  </si>
  <si>
    <t>clavos</t>
  </si>
  <si>
    <t>madera</t>
  </si>
  <si>
    <t>15% gastos generales</t>
  </si>
  <si>
    <t xml:space="preserve">3% ingresos brutos </t>
  </si>
  <si>
    <t xml:space="preserve">35% ganancias </t>
  </si>
  <si>
    <t>total sin IVA</t>
  </si>
  <si>
    <t>m3</t>
  </si>
  <si>
    <t>mano de obra H°A°</t>
  </si>
  <si>
    <t>materiales H°A°</t>
  </si>
  <si>
    <t>mano de obra exc</t>
  </si>
  <si>
    <t>mano de obra compactado</t>
  </si>
  <si>
    <t>total costo-costo</t>
  </si>
  <si>
    <t>SUBTOTAL SIN MATERIALES</t>
  </si>
  <si>
    <t>TOTAL SIN MATERIALES Y SIN IVA</t>
  </si>
  <si>
    <t>maquinaria 1 dia de trabajo, extraccion de material vegetal</t>
  </si>
  <si>
    <t>costo m3</t>
  </si>
  <si>
    <t>costo m2</t>
  </si>
  <si>
    <t>mano de obra x m2</t>
  </si>
  <si>
    <t>mano de obra x m3</t>
  </si>
  <si>
    <t>15% de beneficio + 10% de imprevistos + 3% eventualidades +  1% de seguridad (29%)</t>
  </si>
  <si>
    <t>costo m2 sin materiales</t>
  </si>
  <si>
    <t>1.3</t>
  </si>
  <si>
    <t>plancuelas de 3/16"</t>
  </si>
  <si>
    <t>m2 o m/l</t>
  </si>
  <si>
    <t>cabriada de madera</t>
  </si>
  <si>
    <t>Partida</t>
  </si>
  <si>
    <t>Mano de obra</t>
  </si>
  <si>
    <t>AYUDANTE</t>
  </si>
  <si>
    <t>Material</t>
  </si>
  <si>
    <t>Cemento común (50kg)</t>
  </si>
  <si>
    <t>kg</t>
  </si>
  <si>
    <t>piedra</t>
  </si>
  <si>
    <t>Arena lavada</t>
  </si>
  <si>
    <t>Hidrófugo en pasta</t>
  </si>
  <si>
    <t>Poliestireno expandido 20 mm</t>
  </si>
  <si>
    <t>Polietileno 200 micrones</t>
  </si>
  <si>
    <t>MATERIALES</t>
  </si>
  <si>
    <t>TOTAL (A)</t>
  </si>
  <si>
    <t>MANO DE OBRA</t>
  </si>
  <si>
    <t>TOTAL (B)</t>
  </si>
  <si>
    <t>EQUIPOS</t>
  </si>
  <si>
    <t>TOTAL (C)</t>
  </si>
  <si>
    <t>COSTO - COSTO</t>
  </si>
  <si>
    <t>(1 + 2 + 3)</t>
  </si>
  <si>
    <t>(4 + 5)</t>
  </si>
  <si>
    <t>BENEFICIO</t>
  </si>
  <si>
    <t>COSTO TOTAL DEL TRABAJO</t>
  </si>
  <si>
    <t>V % x (9)</t>
  </si>
  <si>
    <t>GANANCIAS</t>
  </si>
  <si>
    <t>Pastina (1 kg)</t>
  </si>
  <si>
    <t>Mezcla adhesiva impermeable para piso (30Kg)</t>
  </si>
  <si>
    <t>Sellador elástico tipo Adhesil 65</t>
  </si>
  <si>
    <t>m</t>
  </si>
  <si>
    <t>Piso porcellanato 50 x 50 antideslizante</t>
  </si>
  <si>
    <t>GASTOS GENERALES 12%</t>
  </si>
  <si>
    <t>IMPREVISTOS Y EVENTUALIDADES 8%</t>
  </si>
  <si>
    <t>EPP y SEGURIDAD 5%</t>
  </si>
  <si>
    <t>BENEFICIO 15%</t>
  </si>
  <si>
    <t>INGRESOS BRUTOS 3%</t>
  </si>
  <si>
    <t>GANANCIAS 35%</t>
  </si>
  <si>
    <t>INSUMIBLES</t>
  </si>
  <si>
    <t>Mano de Obra</t>
  </si>
  <si>
    <t>Materiales</t>
  </si>
  <si>
    <t>Gastos Generales</t>
  </si>
  <si>
    <t>Imprev y event</t>
  </si>
  <si>
    <t>EEP Seguridad</t>
  </si>
  <si>
    <t>Beneficio</t>
  </si>
  <si>
    <t>IIBB</t>
  </si>
  <si>
    <t>Ganancias</t>
  </si>
  <si>
    <t xml:space="preserve">1.1        </t>
  </si>
  <si>
    <t>M3</t>
  </si>
  <si>
    <t>OFICIAL ESPECIALIZADO</t>
  </si>
  <si>
    <t>hs</t>
  </si>
  <si>
    <t xml:space="preserve">OFICIAL  </t>
  </si>
  <si>
    <t>MEDIO OFICIAL</t>
  </si>
  <si>
    <t>AYUDA DE GREMIO ayudante</t>
  </si>
  <si>
    <t>SUBTOTAL MANO DE OBRA (A)</t>
  </si>
  <si>
    <t>SUBTOTAL MATERIAL (B)</t>
  </si>
  <si>
    <t>GASTOS GENERALES</t>
  </si>
  <si>
    <t>D% x (4)</t>
  </si>
  <si>
    <t>COSTO - COSTO + GASTOS GENERALES</t>
  </si>
  <si>
    <t>IMPREVISTOS Y EVENTUALIDADES</t>
  </si>
  <si>
    <t>E% x (6)</t>
  </si>
  <si>
    <t>EPP-SEGURIDAD</t>
  </si>
  <si>
    <t>F% x (6)</t>
  </si>
  <si>
    <t>G% x (6)</t>
  </si>
  <si>
    <t>(6 + 7 + 8 + 9)</t>
  </si>
  <si>
    <t>COSTO TOTAL DEL TRABAJO SIN MATERIALES</t>
  </si>
  <si>
    <t>(10 - 1)</t>
  </si>
  <si>
    <t>IMPUESTOS (IIBB - GANANCIAS)</t>
  </si>
  <si>
    <t>PRECIO UNITARIO DE APLICACIÓN CON MATERIALES</t>
  </si>
  <si>
    <t>(10 + 12 + 13)</t>
  </si>
  <si>
    <t>PRECIO UNITARIO DE APLICACIÓN CON MATERIALES + IVA</t>
  </si>
  <si>
    <t>(11 + 12 + 13 + IVA)</t>
  </si>
  <si>
    <t>PRECIO UNITARIO DE APLICACIÓN SIN MATERIALES</t>
  </si>
  <si>
    <t>PRECIO UNITARIO DE APLICACIÓN SIN MATERIALES + IVA</t>
  </si>
  <si>
    <t xml:space="preserve">CONTRAPISOS </t>
  </si>
  <si>
    <t>COLOCACION DE PISOS</t>
  </si>
  <si>
    <t>3.1</t>
  </si>
  <si>
    <t>4.2</t>
  </si>
  <si>
    <t>4.3</t>
  </si>
  <si>
    <t>SUBTOTAL ITEM 4.-</t>
  </si>
  <si>
    <t>SUBTOTAL ITEM 6.-</t>
  </si>
  <si>
    <t>5.1</t>
  </si>
  <si>
    <t>SUBTOTAL ITEM 3.-</t>
  </si>
  <si>
    <t>M2</t>
  </si>
  <si>
    <r>
      <rPr>
        <b/>
        <i/>
        <sz val="12"/>
        <color theme="1"/>
        <rFont val="Calibri"/>
        <family val="2"/>
        <scheme val="minor"/>
      </rPr>
      <t xml:space="preserve">GONZALEZ GABRIEL ALEJANDRO - M.M.O. MAT: B1-1683/3     -     LOSA SEBASTIAN - ARQ. MAT: 2066/3   </t>
    </r>
    <r>
      <rPr>
        <b/>
        <i/>
        <sz val="14"/>
        <color theme="1"/>
        <rFont val="Calibri"/>
        <family val="2"/>
        <scheme val="minor"/>
      </rPr>
      <t xml:space="preserve">  </t>
    </r>
  </si>
  <si>
    <t>Forma de pago: 15% de anticipo y certificaciones quincenales según avance de obra.</t>
  </si>
  <si>
    <t xml:space="preserve">Valor U$S oficial al 08/11/21  = </t>
  </si>
  <si>
    <r>
      <t>Valor m</t>
    </r>
    <r>
      <rPr>
        <b/>
        <vertAlign val="superscript"/>
        <sz val="14"/>
        <color theme="0"/>
        <rFont val="Agency FB"/>
        <family val="2"/>
      </rPr>
      <t>2</t>
    </r>
    <r>
      <rPr>
        <b/>
        <sz val="14"/>
        <color theme="0"/>
        <rFont val="Agency FB"/>
        <family val="2"/>
      </rPr>
      <t xml:space="preserve"> de esta construccion </t>
    </r>
  </si>
  <si>
    <t>Revestimiento pared interior con placa de yeso de 12,5 encintado y masillado (no incluye lijado)</t>
  </si>
  <si>
    <t>PARED INTERIOR Panel Steel Framing, compuesta por: Placa OSB 11,1, Perfil CSH PGC 100x40x0,9, Celulosa Pro, Placa OSB 11,1</t>
  </si>
  <si>
    <t>PARED EXTERIOR Panel Steel Framing, compuesta por: Membrana Hydrofuga, Placa OSB 11,1, Perfil CSH PGC 100x40x0,9, Celulosa Pro, Placa OSB 11,1</t>
  </si>
  <si>
    <t>4.4</t>
  </si>
  <si>
    <t>Limpieza periódica y final de obra</t>
  </si>
  <si>
    <t>Pintura sobre madera techo</t>
  </si>
  <si>
    <t xml:space="preserve">Replanteo </t>
  </si>
  <si>
    <t xml:space="preserve">Obrador y Baño quimico </t>
  </si>
  <si>
    <t>2.2</t>
  </si>
  <si>
    <t xml:space="preserve">3 -  MAMPOSTERIAS, REVOQUES Y DRENAJES </t>
  </si>
  <si>
    <t>Muros de contencion en bloques hormigon armado, azotados hidrofugos verticales, pintura con emulsion asfaltica, colocacion de membrana asfaltica, aislaciones de EPS y drenajes perimetrales.</t>
  </si>
  <si>
    <t>Armado de techo en madera con cabios, machimbre aislacion clavaderas y chapa , Panel MegaSytem C Foil/Prepintado-50</t>
  </si>
  <si>
    <t>Revestimiento cielorraso interior PB y sanitarios PA, con placa de yeso de 12,5 encintado y masillado (no incluye lijado)</t>
  </si>
  <si>
    <t xml:space="preserve">Revestimiento exterior EIFS con terminacion base coat o siding </t>
  </si>
  <si>
    <t>2.3</t>
  </si>
  <si>
    <t xml:space="preserve">4 - ESTRUCTURA STEEL FRAMING </t>
  </si>
  <si>
    <t>4.1</t>
  </si>
  <si>
    <t xml:space="preserve">5 - REVESTIMIENTOS </t>
  </si>
  <si>
    <t>5.2</t>
  </si>
  <si>
    <t>5.3</t>
  </si>
  <si>
    <t>5.4</t>
  </si>
  <si>
    <t>6 - VARIOS</t>
  </si>
  <si>
    <t>6.1</t>
  </si>
  <si>
    <t>SUBTOTAL ITEM 5.-</t>
  </si>
  <si>
    <t xml:space="preserve">5.2        </t>
  </si>
  <si>
    <t>muros de contencion bloque hormigon</t>
  </si>
  <si>
    <t>h</t>
  </si>
  <si>
    <t>OFICIAL</t>
  </si>
  <si>
    <t>ayuda gremio</t>
  </si>
  <si>
    <t>SUBTOTAL MANO DE OBRA (B)</t>
  </si>
  <si>
    <t>Cemento  (bolsa x 50 kg)</t>
  </si>
  <si>
    <t>Arena común</t>
  </si>
  <si>
    <t>Hierro redondo estriado 12/500-528</t>
  </si>
  <si>
    <t>bloques de hormigon 20/20/40</t>
  </si>
  <si>
    <t>u</t>
  </si>
  <si>
    <t>SUBTOTAL MATERIAL (A)</t>
  </si>
  <si>
    <t>Muros bloques de cemento 40/40</t>
  </si>
  <si>
    <t>bloques</t>
  </si>
  <si>
    <t>platea subsuelo</t>
  </si>
  <si>
    <t>armado de losetas</t>
  </si>
  <si>
    <t>hormigon</t>
  </si>
  <si>
    <t>materiales bloques</t>
  </si>
  <si>
    <t>losetas</t>
  </si>
  <si>
    <t>replanteos</t>
  </si>
  <si>
    <t>excavacion manual vigas</t>
  </si>
  <si>
    <t>excavacion manual bases</t>
  </si>
  <si>
    <t>mamposteria</t>
  </si>
  <si>
    <t>vigas 20/40</t>
  </si>
  <si>
    <t>encadenados</t>
  </si>
  <si>
    <t>cerecita</t>
  </si>
  <si>
    <t>membrana</t>
  </si>
  <si>
    <t>plateas</t>
  </si>
  <si>
    <t>TOTAL</t>
  </si>
  <si>
    <t>postes y alambrados</t>
  </si>
  <si>
    <t>maquina</t>
  </si>
  <si>
    <t>EN DOLARES</t>
  </si>
  <si>
    <t>2 - EXCAVACIONES, HORMIGON FUNDACIONES, PLATEAS, COLUMNAS Y VIGAS.</t>
  </si>
  <si>
    <t>camion</t>
  </si>
  <si>
    <t>cerco</t>
  </si>
  <si>
    <t>replanteo</t>
  </si>
  <si>
    <t>excavacion manual</t>
  </si>
  <si>
    <t>azotado</t>
  </si>
  <si>
    <t>membranas</t>
  </si>
  <si>
    <t>viguetas</t>
  </si>
  <si>
    <t>Valor expreado en dolares blue. -  
Consideraciones Generales
Otros detalles no especificados en la documentación y que fuera objeto de análisis para el cálculo de la presente cotización, a definir y cotizar. -
Obras a desarrollarse en Días hábiles APTOS: se consideran días de ejecución semanal en horario de 9hs. a 17hs. (a criterio técnico de nuestro personal, a coordinar), en condiciones normales de trabajo SEGURO a la Intemperie; otras “a nuestro exclusivo criterio”. -
Todos los servicios necesarios para la realización de las obras en el sector OBRA (agua, electricidad, sanitarios), se consideran provistos por el cliente a pie de obra. -
Nuestro personal calificado (por rubros) prestara sus servicios en obra, con máquinas y herramientas, EPP e infraestructura apta para las distintas tareas a realizar, a nuestro criterio.</t>
  </si>
  <si>
    <t>ENTREPISO Panel Steel Framing, compuesta por: Fenolico 18mm,  Perfil CSH PGC 100x40x0,9, Lana de vidrio PV 100 c/aluminio</t>
  </si>
  <si>
    <t xml:space="preserve">5 - PISOS, CONTRAPISOS  </t>
  </si>
  <si>
    <t>6 - INSTALACIONES</t>
  </si>
  <si>
    <t>6.2</t>
  </si>
  <si>
    <t>Instalacion agua fria y caliente</t>
  </si>
  <si>
    <t>6.3</t>
  </si>
  <si>
    <t>Instalacion electrica completa</t>
  </si>
  <si>
    <t>7 - PINTURA (no se incluyen los materiales)</t>
  </si>
  <si>
    <t>7.1</t>
  </si>
  <si>
    <t>Pintura al latex paredes interiores</t>
  </si>
  <si>
    <t>7.2</t>
  </si>
  <si>
    <t>Pintura al latex cielorrasos interiores</t>
  </si>
  <si>
    <t>SUBTOTAL ITEM 7.-</t>
  </si>
  <si>
    <t>6.4</t>
  </si>
  <si>
    <t xml:space="preserve">Instalacion calefaccion por piso radiante </t>
  </si>
  <si>
    <t>Instalacion de Gas y tramite ante Camuzzi</t>
  </si>
  <si>
    <t>Colocacion zocalos madera (no se cotizan)</t>
  </si>
  <si>
    <t>Colocacion Pisos (no se cotizan)</t>
  </si>
  <si>
    <t xml:space="preserve">Contrapiso de Nivelación 8cm </t>
  </si>
  <si>
    <t>Revestimiento tipo revear</t>
  </si>
  <si>
    <t>Colocacion de chapa en paredes exteriores</t>
  </si>
  <si>
    <t>Capítulo</t>
  </si>
  <si>
    <t/>
  </si>
  <si>
    <t>Gl</t>
  </si>
  <si>
    <t>Tablas 1" x 6"</t>
  </si>
  <si>
    <t>Tirantes 3"x3"</t>
  </si>
  <si>
    <t>Clavos punta paris 2 1/2"</t>
  </si>
  <si>
    <t>IMREVISTOS Y EVENTUALIDADES</t>
  </si>
  <si>
    <t>Y% x (4)</t>
  </si>
  <si>
    <t>SUBTOTAL</t>
  </si>
  <si>
    <t>GASTOS GENERALES (Gtos. Direc.+Gtos indir.)</t>
  </si>
  <si>
    <t>X% x (6)</t>
  </si>
  <si>
    <t>Z% x (6)</t>
  </si>
  <si>
    <t>(6 + 7 + 8) - 2</t>
  </si>
  <si>
    <t>PRECIO UNITARIO DE APLICACIÓN</t>
  </si>
  <si>
    <t>(9 + 10)</t>
  </si>
  <si>
    <t xml:space="preserve">2.2         </t>
  </si>
  <si>
    <t>Excavacion VF a pico y pala</t>
  </si>
  <si>
    <t xml:space="preserve">03        </t>
  </si>
  <si>
    <t xml:space="preserve">HORMIGON FUNDACIONES </t>
  </si>
  <si>
    <t>Bases Aisladas 80x80x50 /100X80X50</t>
  </si>
  <si>
    <t>Hierro barra</t>
  </si>
  <si>
    <t>ton</t>
  </si>
  <si>
    <t>Alambre negro</t>
  </si>
  <si>
    <t>tablas</t>
  </si>
  <si>
    <t>tirantes</t>
  </si>
  <si>
    <t>cemento</t>
  </si>
  <si>
    <t>arena</t>
  </si>
  <si>
    <t>3.2</t>
  </si>
  <si>
    <t>Vigas de fundacion 20x30/30X30</t>
  </si>
  <si>
    <t xml:space="preserve">04     </t>
  </si>
  <si>
    <t>COLUMNAS Y VIGAS</t>
  </si>
  <si>
    <t>Columnas de hormigon</t>
  </si>
  <si>
    <t>Vigas ENCADENADO</t>
  </si>
  <si>
    <t xml:space="preserve">05          </t>
  </si>
  <si>
    <t>MAMPOSTERIAS Y MUROS</t>
  </si>
  <si>
    <t xml:space="preserve">5.1        </t>
  </si>
  <si>
    <t>Ladrillo cerámico hueco 18 cm</t>
  </si>
  <si>
    <t>Cemento de albañilería (bolsa x 40 kg)</t>
  </si>
  <si>
    <t>Ladrillo cerámico hueco 18 x 18 x 33</t>
  </si>
  <si>
    <t>Pegamento Retak</t>
  </si>
  <si>
    <t>Bloque Retak</t>
  </si>
  <si>
    <t>Muros bloques de retak 20/50</t>
  </si>
  <si>
    <t xml:space="preserve">EXCAVACIONES MANUALES BASES </t>
  </si>
  <si>
    <t>BASES AISLADAS</t>
  </si>
  <si>
    <t>TRONCOS DE COLUMNA</t>
  </si>
  <si>
    <t>COLUMNAS</t>
  </si>
  <si>
    <t>VIGAS</t>
  </si>
  <si>
    <t>LOSAS</t>
  </si>
  <si>
    <t>MES</t>
  </si>
  <si>
    <t>San Carlos de Bariloche, 22 de Noviembre de 2022</t>
  </si>
  <si>
    <t xml:space="preserve">De nuestra mayor consideración:
Tenemos el agrado de elevar para vuestra consideración la siguiente Cotización sobre:
Construcción Vivienda Unifamiliar - BARRANCAS DE DINA HUAPI - LOTE 350
</t>
  </si>
  <si>
    <r>
      <rPr>
        <b/>
        <i/>
        <u/>
        <sz val="14"/>
        <color theme="1"/>
        <rFont val="Calibri"/>
        <family val="2"/>
        <scheme val="minor"/>
      </rPr>
      <t>En la presente cotización no se incluyen:</t>
    </r>
    <r>
      <rPr>
        <sz val="11"/>
        <color theme="1"/>
        <rFont val="Calibri"/>
        <family val="2"/>
        <scheme val="minor"/>
      </rPr>
      <t xml:space="preserve">
• Movimientos de suelos a Maquina.
• Aportes de suelos.
• Materiales.
• Insumibles.
• Maderas para encofrados.
</t>
    </r>
  </si>
  <si>
    <t>Movimientos de suelos y excavaciones manuales para bases y vigas. Relleno y compactación de suelos seleccionados</t>
  </si>
  <si>
    <t>Bases aisladas de fundacion</t>
  </si>
  <si>
    <t>Troncos de Columnas</t>
  </si>
  <si>
    <t>2.4</t>
  </si>
  <si>
    <t>2.5</t>
  </si>
  <si>
    <t>2.6</t>
  </si>
  <si>
    <t>2.7</t>
  </si>
  <si>
    <t>Vigas y encadenados</t>
  </si>
  <si>
    <t>Vigas, Contrapisos y Losas de fundaciones niveles -0,10 y -0,20</t>
  </si>
  <si>
    <t>Columnas y C/E sobre Planta Baja y Alta</t>
  </si>
  <si>
    <t>Losas sobre Planta Baja y Alta</t>
  </si>
  <si>
    <t>Cerco de obra (NO SE COTIZA)</t>
  </si>
  <si>
    <t xml:space="preserve">Los valores expresados en la presente cotizacion, de mano de obra, estan expresados en dólares </t>
  </si>
  <si>
    <t>Monto Total de la Obra expresada en pesos:   .....................................................</t>
  </si>
  <si>
    <t>SON PESOS NOVECIENTOS OCHENTA Y SIETE MIL NOVECIENTOS TREINTA Y SIETE CON 19/100</t>
  </si>
  <si>
    <t xml:space="preserve">Provisión de toda la mano de obra necesaria para la completa construcción y culminación de trabajos estructurales de Hormigon Armado; Bases, Troncos de columnas, Vigas de Fundaciones, Plateas de Fundaciones, Columnas S/PB, Vigas S/PB, Losa S/PB, columnas S/PA, Vigas S/PA, Losa S/PA, según lineamientos de la documentación entregadas por Ustedes. </t>
  </si>
  <si>
    <t>Los valores expresados en la presente cotizacion, de mano de obra, estan expresados en dólares BLUE</t>
  </si>
  <si>
    <t>Monto Total de la Obra expresada en dolares:   ....................................................................</t>
  </si>
  <si>
    <t>Estructura de hierro</t>
  </si>
  <si>
    <t xml:space="preserve">anclajes metalicos para T2-T2 (vigas F - Vigas PB) </t>
  </si>
  <si>
    <t>descripcion</t>
  </si>
  <si>
    <t>cantidad</t>
  </si>
  <si>
    <t>unidades</t>
  </si>
  <si>
    <t>total sup</t>
  </si>
  <si>
    <t>peso x m2</t>
  </si>
  <si>
    <t>total peso</t>
  </si>
  <si>
    <t>CHAPA 200x100x4,76</t>
  </si>
  <si>
    <t>kg/m2</t>
  </si>
  <si>
    <t>CHAPA 200x200x4,76</t>
  </si>
  <si>
    <t>hierro liso Ø 12</t>
  </si>
  <si>
    <t>mL</t>
  </si>
  <si>
    <t>kg/mL</t>
  </si>
  <si>
    <t>cruces de san andres T2-T2</t>
  </si>
  <si>
    <t xml:space="preserve">hierro ANG 2 1/4" x 3/16" </t>
  </si>
  <si>
    <t xml:space="preserve">TOTAL anclajes met y cruces de SA T2-T2 (vigas F - Vigas PB) </t>
  </si>
  <si>
    <t xml:space="preserve">Insertos para CM1 </t>
  </si>
  <si>
    <t>CHAPA 150x150x4,76 (CM1)</t>
  </si>
  <si>
    <t>hierro liso Ø 10</t>
  </si>
  <si>
    <t>hierro liso Ø 6</t>
  </si>
  <si>
    <t xml:space="preserve">TOTAL anclajes insertos para CM1 </t>
  </si>
  <si>
    <t>TOTAL anclajes met en vigas de fundaciones para recibir CM1</t>
  </si>
  <si>
    <t>Refuerzos DM1</t>
  </si>
  <si>
    <t>CHAPA 150x150x3,2</t>
  </si>
  <si>
    <t>TOTAL VM1-VM3</t>
  </si>
  <si>
    <t>CUBIERTA</t>
  </si>
  <si>
    <t>CoC (C140/60/20/2)</t>
  </si>
  <si>
    <t>PRESILLAS CADA 700MM</t>
  </si>
  <si>
    <t>CHAPA UNION CoC CON VM1/3</t>
  </si>
  <si>
    <t>TOTAL CUBIERTA</t>
  </si>
  <si>
    <t>ESCALERA</t>
  </si>
  <si>
    <t>Insertos para CM2</t>
  </si>
  <si>
    <t>DM1 nivel fund-pb (70/70/2)</t>
  </si>
  <si>
    <t>DM1 nivel pb-2/2pb (70/70/2)</t>
  </si>
  <si>
    <t>DM1 nivel 1/2-pa (70/70/2)</t>
  </si>
  <si>
    <t>COLUMNAS CM2 IPN 140</t>
  </si>
  <si>
    <t>VIGAS VM2 IPN 140</t>
  </si>
  <si>
    <t>VIGAS VM4 IPN 100</t>
  </si>
  <si>
    <t>VIGAS VME IPN 100</t>
  </si>
  <si>
    <t>Escalon Metal Despl 250/30/12</t>
  </si>
  <si>
    <t>Escalon Planchuela 270/32/4,76</t>
  </si>
  <si>
    <t>Escalon Angulo 38/38/4,76</t>
  </si>
  <si>
    <t>Descanso Metal Despl 250/30/12</t>
  </si>
  <si>
    <t>Descanso Angulo 38/38/4,76</t>
  </si>
  <si>
    <t>TOTAL anclajes insertos para CM2</t>
  </si>
  <si>
    <t>PASARELA</t>
  </si>
  <si>
    <t>CoP (C140/60/20/2)</t>
  </si>
  <si>
    <t>CHAPA UNION CoP CON VM1/3</t>
  </si>
  <si>
    <t>TOTAL PASARELA</t>
  </si>
  <si>
    <t>REFUERZOS C SAN ANDRES CUBIERTA</t>
  </si>
  <si>
    <t>CHAPA 120x100x4,76</t>
  </si>
  <si>
    <t>hierro liso Ø 8</t>
  </si>
  <si>
    <t>TOTAL REFUERZOS C SAN ANDRES CUBIERTA</t>
  </si>
  <si>
    <t>DEPOSITO CONTIGUO ESCALERA</t>
  </si>
  <si>
    <t>VM1 (C100/50/15/2)</t>
  </si>
  <si>
    <t>CoD (C100/50/15/2)</t>
  </si>
  <si>
    <t>C1 (C100/50/15/2)</t>
  </si>
  <si>
    <t>TOTAL DEPOSITO CONTIGUO ESCALERA</t>
  </si>
  <si>
    <t>CUBIERTA ESCALERA Y DEPOSITO</t>
  </si>
  <si>
    <t>CHAPA UNION Coe CON VM1/3</t>
  </si>
  <si>
    <t>Columnas CM200-80-2mm</t>
  </si>
  <si>
    <t>CM planta 1er p (C200/80/25/2,5)</t>
  </si>
  <si>
    <t>Vigas VM</t>
  </si>
  <si>
    <t>VM de Contorno (C200/80/25/2,5)</t>
  </si>
  <si>
    <t>VM IPN 200</t>
  </si>
  <si>
    <t>VM CUBIERTA (C140/50/15/2)</t>
  </si>
  <si>
    <t>planchuela 3/4" *x 1/8"</t>
  </si>
  <si>
    <t>hierro angulo 2" x 3/16"</t>
  </si>
  <si>
    <t>concepto</t>
  </si>
  <si>
    <t>fecha</t>
  </si>
  <si>
    <t>monto</t>
  </si>
  <si>
    <t xml:space="preserve">copias de planos </t>
  </si>
  <si>
    <t>Nylon ferreteria y candado</t>
  </si>
  <si>
    <t>cemento loma negra</t>
  </si>
  <si>
    <t>combustible grupo elect.</t>
  </si>
  <si>
    <t>1 dia de alquiler grupo en alquilotodo</t>
  </si>
  <si>
    <t>termomagnetica y riel din centro electrico</t>
  </si>
  <si>
    <t>2 kilos de clavo 1/2"</t>
  </si>
  <si>
    <t>CHAPA 300x300x6,4</t>
  </si>
  <si>
    <t>PB</t>
  </si>
  <si>
    <t>PA</t>
  </si>
  <si>
    <t>ladrillos RETAK</t>
  </si>
  <si>
    <t>metro cuadrado de pared planta alta</t>
  </si>
  <si>
    <t>mont 70</t>
  </si>
  <si>
    <t>placa osb</t>
  </si>
  <si>
    <t>placa yeso</t>
  </si>
  <si>
    <t>solera 70</t>
  </si>
  <si>
    <t>tybek</t>
  </si>
  <si>
    <t>eps 50</t>
  </si>
  <si>
    <t>alf 2"x2"</t>
  </si>
  <si>
    <t>celulosa 100</t>
  </si>
  <si>
    <t>pgc 100</t>
  </si>
  <si>
    <t>pgu 100</t>
  </si>
  <si>
    <t>chapa</t>
  </si>
  <si>
    <t>tornilleria</t>
  </si>
  <si>
    <t xml:space="preserve">TOTAL PRESUPUESTO        </t>
  </si>
  <si>
    <t>2 - ESTRUCTURAS, EXCAVACIONES, HORMIGON FUNDACIONES, PLATEA CON VIGAS.</t>
  </si>
  <si>
    <t xml:space="preserve">
</t>
  </si>
  <si>
    <t>PRECIO APROX</t>
  </si>
  <si>
    <t>PAREDES EXTERIORES: PGC 100; PGU 100; PLACAS OSB 11mm (dobles); TYBEK; PLACA YESO 12,5mm; CELULOSA 100mm; TORNILLERIAS</t>
  </si>
  <si>
    <t>PAREDES INTERIORES: PGC 100; PGU 100; PLACAS OSB 11mm (dobles); PLACA YESO 12,5mm (dobles); CELULOSA 100mm; TORNILLERIAS</t>
  </si>
  <si>
    <t>REVESTIMIENTOS EXTERIORES: EPS 50mm; ALFAJIAS 2"X2"; CHAPA SINUSOIDAL; TORNILLERIAS</t>
  </si>
  <si>
    <t>Muros bloques de cemento 20/20/40</t>
  </si>
  <si>
    <t xml:space="preserve">hormigon </t>
  </si>
  <si>
    <t>pintura asfaltica</t>
  </si>
  <si>
    <t>cetol</t>
  </si>
  <si>
    <t>PINTURA madera</t>
  </si>
  <si>
    <t>ltrs</t>
  </si>
  <si>
    <t>EMPRESA CONSTRUCTORA GRUPO SL SAS</t>
  </si>
  <si>
    <t>ROTURA DE ROCA</t>
  </si>
  <si>
    <t>Perforacion para broca quimica</t>
  </si>
  <si>
    <t>und</t>
  </si>
  <si>
    <t>La presente cotización tiene validez por 20 días.</t>
  </si>
  <si>
    <t>SUBTOTAL ITEM 10.-</t>
  </si>
  <si>
    <t>PAVIMENTOS</t>
  </si>
  <si>
    <t>CAMARA</t>
  </si>
  <si>
    <t>MOV DE SUELOS BAJO PAVIMENTO</t>
  </si>
  <si>
    <t>ESTRUCTURA</t>
  </si>
  <si>
    <t>hierro barra tn</t>
  </si>
  <si>
    <t>tablas m2</t>
  </si>
  <si>
    <t>tirantes m2</t>
  </si>
  <si>
    <t>clavos kg</t>
  </si>
  <si>
    <t>alambre kg</t>
  </si>
  <si>
    <t>hora oficial</t>
  </si>
  <si>
    <t>hora ayudante</t>
  </si>
  <si>
    <t>BASES</t>
  </si>
  <si>
    <t>LOSAS Y CORNISAS</t>
  </si>
  <si>
    <t>DINTELES</t>
  </si>
  <si>
    <t>TABIQUES</t>
  </si>
  <si>
    <t>ENCADENADOS</t>
  </si>
  <si>
    <t>ESCALERAS</t>
  </si>
  <si>
    <t>Escaleras</t>
  </si>
  <si>
    <t>Troncos de Columnas y columnas</t>
  </si>
  <si>
    <t xml:space="preserve">Vigas -3,24, +/-0,00 y +4,2 </t>
  </si>
  <si>
    <t>Losas -3,24 y +/-0,00</t>
  </si>
  <si>
    <t>3 - VARIOS</t>
  </si>
  <si>
    <t>Limpieza periodica y final de obra</t>
  </si>
  <si>
    <t>Forma de pago: 20% de anticipo y certificaciones quincenales según avance de obra.</t>
  </si>
  <si>
    <t xml:space="preserve">De nuestra mayor consideración:
Tenemos el agrado de elevar para vuestra consideración la siguiente Cotización sobre:
Construcción Vivienda unifamiliar - Barrio Belgrano - SAN CARLOS DE BARILOCHE
</t>
  </si>
  <si>
    <t>San Carlos de Bariloche, 23 de MARZO de 2025</t>
  </si>
  <si>
    <t>SON DOLARES CUARENTA Y SIETE MIL SEISCIENTOS CUARENTA Y UNO CON 41/100</t>
  </si>
  <si>
    <t>Bases aisladas (a 1m de profundidad)</t>
  </si>
  <si>
    <t>DEMOLICION MAMPOSTERIA</t>
  </si>
  <si>
    <t>Obrador y Baño quimico (no se cotiza)</t>
  </si>
  <si>
    <t xml:space="preserve">Cerco de Obra </t>
  </si>
  <si>
    <t>Demolicion de mamposterias, traslados de puertas, acarreo de demoliciones a contenedores (incluye contratacion de contenedores)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</si>
</sst>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;[Red]&quot;$&quot;\ #,##0.0"/>
    <numFmt numFmtId="165" formatCode="[$USS]\ #,##0.00"/>
    <numFmt numFmtId="166" formatCode="&quot;$&quot;\ #,##0.00"/>
    <numFmt numFmtId="167" formatCode="[$$-2C0A]\ #,##0.00"/>
    <numFmt numFmtId="168" formatCode="#,##0.000"/>
    <numFmt numFmtId="169" formatCode="&quot;$&quot;\ #,##0.00;[Red]&quot;$&quot;\ #,##0.00"/>
    <numFmt numFmtId="170" formatCode="[$USD]\ #,##0.00"/>
    <numFmt numFmtId="171" formatCode="[$USD]\ #,##0.0;[Red][$USD]\ #,##0.0"/>
    <numFmt numFmtId="172" formatCode="[$USD]\ #,##0.00;[Red][$USD]\ #,##0.00"/>
    <numFmt numFmtId="173" formatCode="0.0"/>
    <numFmt numFmtId="174" formatCode="[$US$-3009]#,##0.00"/>
    <numFmt numFmtId="175" formatCode="[$USS]\ #,##0.0;[Red][$USS]\ #,##0.0"/>
    <numFmt numFmtId="176" formatCode="[$USS]\ #,##0.00;[Red][$USS]\ #,##0.0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Agency FB"/>
      <family val="2"/>
    </font>
    <font>
      <b/>
      <u/>
      <sz val="14"/>
      <color theme="0"/>
      <name val="Agency FB"/>
      <family val="2"/>
    </font>
    <font>
      <b/>
      <vertAlign val="superscript"/>
      <sz val="14"/>
      <color theme="0"/>
      <name val="Agency FB"/>
      <family val="2"/>
    </font>
    <font>
      <b/>
      <sz val="18"/>
      <color theme="0"/>
      <name val="Agency FB"/>
      <family val="2"/>
    </font>
    <font>
      <b/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8"/>
      <color theme="4" tint="-0.499984740745262"/>
      <name val="Bookman Old Style"/>
      <family val="1"/>
    </font>
    <font>
      <sz val="11"/>
      <color theme="4" tint="-0.499984740745262"/>
      <name val="Bookman Old Style"/>
      <family val="1"/>
    </font>
    <font>
      <b/>
      <i/>
      <sz val="12"/>
      <name val="Calibri"/>
      <family val="2"/>
      <scheme val="minor"/>
    </font>
    <font>
      <b/>
      <i/>
      <sz val="14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9" fillId="0" borderId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9" fillId="0" borderId="0"/>
    <xf numFmtId="9" fontId="33" fillId="0" borderId="0"/>
  </cellStyleXfs>
  <cellXfs count="385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4" borderId="0" xfId="0" applyFill="1"/>
    <xf numFmtId="0" fontId="4" fillId="2" borderId="0" xfId="0" applyFont="1" applyFill="1" applyAlignment="1">
      <alignment horizontal="center" vertical="center"/>
    </xf>
    <xf numFmtId="9" fontId="4" fillId="2" borderId="0" xfId="3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10" fontId="7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3" fontId="14" fillId="2" borderId="1" xfId="1" applyFont="1" applyFill="1" applyBorder="1" applyAlignment="1">
      <alignment horizontal="right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4" fillId="2" borderId="8" xfId="0" applyNumberFormat="1" applyFont="1" applyFill="1" applyBorder="1" applyAlignment="1">
      <alignment horizontal="right" vertical="center"/>
    </xf>
    <xf numFmtId="164" fontId="0" fillId="0" borderId="0" xfId="0" applyNumberFormat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18" fillId="3" borderId="0" xfId="0" applyNumberFormat="1" applyFont="1" applyFill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64" fontId="20" fillId="3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18" fillId="3" borderId="0" xfId="0" applyNumberFormat="1" applyFont="1" applyFill="1" applyAlignment="1">
      <alignment horizontal="right" vertical="center"/>
    </xf>
    <xf numFmtId="2" fontId="17" fillId="3" borderId="0" xfId="0" applyNumberFormat="1" applyFont="1" applyFill="1" applyAlignment="1">
      <alignment vertical="center"/>
    </xf>
    <xf numFmtId="2" fontId="0" fillId="0" borderId="0" xfId="0" applyNumberFormat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7" fillId="3" borderId="0" xfId="0" applyNumberFormat="1" applyFont="1" applyFill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22" fillId="2" borderId="4" xfId="0" applyFont="1" applyFill="1" applyBorder="1" applyAlignment="1">
      <alignment horizontal="center" vertical="center"/>
    </xf>
    <xf numFmtId="2" fontId="22" fillId="2" borderId="4" xfId="0" applyNumberFormat="1" applyFont="1" applyFill="1" applyBorder="1" applyAlignment="1">
      <alignment horizontal="center" vertical="center"/>
    </xf>
    <xf numFmtId="164" fontId="16" fillId="2" borderId="4" xfId="0" applyNumberFormat="1" applyFont="1" applyFill="1" applyBorder="1" applyAlignment="1">
      <alignment horizontal="center" vertical="center" wrapText="1"/>
    </xf>
    <xf numFmtId="164" fontId="16" fillId="2" borderId="5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/>
    </xf>
    <xf numFmtId="166" fontId="0" fillId="7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166" fontId="0" fillId="8" borderId="0" xfId="0" applyNumberFormat="1" applyFill="1" applyAlignment="1">
      <alignment horizontal="center" vertical="center"/>
    </xf>
    <xf numFmtId="166" fontId="0" fillId="9" borderId="0" xfId="0" applyNumberFormat="1" applyFill="1" applyAlignment="1">
      <alignment horizontal="center" vertical="center"/>
    </xf>
    <xf numFmtId="166" fontId="8" fillId="7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44" fontId="0" fillId="0" borderId="0" xfId="4" applyFont="1" applyAlignment="1">
      <alignment vertical="center"/>
    </xf>
    <xf numFmtId="166" fontId="0" fillId="0" borderId="0" xfId="0" applyNumberFormat="1" applyAlignment="1">
      <alignment horizontal="center" vertical="center"/>
    </xf>
    <xf numFmtId="49" fontId="23" fillId="0" borderId="13" xfId="5" applyNumberFormat="1" applyFont="1" applyBorder="1" applyAlignment="1">
      <alignment vertical="top" wrapText="1"/>
    </xf>
    <xf numFmtId="49" fontId="23" fillId="0" borderId="13" xfId="5" applyNumberFormat="1" applyFont="1" applyBorder="1" applyAlignment="1">
      <alignment horizontal="center" vertical="top"/>
    </xf>
    <xf numFmtId="168" fontId="23" fillId="0" borderId="13" xfId="5" applyNumberFormat="1" applyFont="1" applyBorder="1" applyAlignment="1">
      <alignment vertical="top"/>
    </xf>
    <xf numFmtId="167" fontId="23" fillId="0" borderId="13" xfId="5" applyNumberFormat="1" applyFont="1" applyBorder="1" applyAlignment="1">
      <alignment vertical="top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0" fontId="25" fillId="10" borderId="0" xfId="0" applyFont="1" applyFill="1" applyAlignment="1">
      <alignment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167" fontId="25" fillId="0" borderId="0" xfId="0" applyNumberFormat="1" applyFont="1" applyAlignment="1">
      <alignment horizontal="right" vertical="center" wrapText="1"/>
    </xf>
    <xf numFmtId="9" fontId="25" fillId="0" borderId="0" xfId="3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10" borderId="0" xfId="0" applyFont="1" applyFill="1" applyAlignment="1">
      <alignment vertical="center" wrapText="1"/>
    </xf>
    <xf numFmtId="167" fontId="25" fillId="0" borderId="0" xfId="0" applyNumberFormat="1" applyFont="1" applyAlignment="1">
      <alignment horizontal="center" vertical="center" wrapText="1"/>
    </xf>
    <xf numFmtId="167" fontId="25" fillId="0" borderId="0" xfId="0" applyNumberFormat="1" applyFont="1" applyAlignment="1">
      <alignment vertical="center" wrapText="1"/>
    </xf>
    <xf numFmtId="49" fontId="24" fillId="5" borderId="3" xfId="5" applyNumberFormat="1" applyFont="1" applyFill="1" applyBorder="1" applyAlignment="1">
      <alignment vertical="center" wrapText="1"/>
    </xf>
    <xf numFmtId="49" fontId="24" fillId="5" borderId="4" xfId="5" applyNumberFormat="1" applyFont="1" applyFill="1" applyBorder="1" applyAlignment="1">
      <alignment vertical="center" wrapText="1"/>
    </xf>
    <xf numFmtId="49" fontId="24" fillId="5" borderId="4" xfId="5" applyNumberFormat="1" applyFont="1" applyFill="1" applyBorder="1" applyAlignment="1">
      <alignment horizontal="center" vertical="center" wrapText="1"/>
    </xf>
    <xf numFmtId="49" fontId="24" fillId="5" borderId="4" xfId="5" applyNumberFormat="1" applyFont="1" applyFill="1" applyBorder="1" applyAlignment="1">
      <alignment horizontal="right" vertical="center" wrapText="1"/>
    </xf>
    <xf numFmtId="49" fontId="24" fillId="5" borderId="5" xfId="5" applyNumberFormat="1" applyFont="1" applyFill="1" applyBorder="1" applyAlignment="1">
      <alignment horizontal="right" vertical="center" wrapText="1"/>
    </xf>
    <xf numFmtId="49" fontId="23" fillId="0" borderId="0" xfId="5" applyNumberFormat="1" applyFont="1" applyAlignment="1">
      <alignment vertical="center"/>
    </xf>
    <xf numFmtId="49" fontId="23" fillId="0" borderId="14" xfId="5" applyNumberFormat="1" applyFont="1" applyBorder="1" applyAlignment="1">
      <alignment vertical="center"/>
    </xf>
    <xf numFmtId="49" fontId="23" fillId="0" borderId="15" xfId="5" applyNumberFormat="1" applyFont="1" applyBorder="1" applyAlignment="1">
      <alignment vertical="center" wrapText="1"/>
    </xf>
    <xf numFmtId="49" fontId="23" fillId="0" borderId="15" xfId="5" applyNumberFormat="1" applyFont="1" applyBorder="1" applyAlignment="1">
      <alignment horizontal="center" vertical="center"/>
    </xf>
    <xf numFmtId="168" fontId="23" fillId="0" borderId="15" xfId="5" applyNumberFormat="1" applyFont="1" applyBorder="1" applyAlignment="1">
      <alignment horizontal="right" vertical="center"/>
    </xf>
    <xf numFmtId="167" fontId="23" fillId="0" borderId="15" xfId="5" applyNumberFormat="1" applyFont="1" applyBorder="1" applyAlignment="1">
      <alignment horizontal="right" vertical="center"/>
    </xf>
    <xf numFmtId="167" fontId="23" fillId="0" borderId="16" xfId="5" applyNumberFormat="1" applyFont="1" applyBorder="1" applyAlignment="1">
      <alignment horizontal="right" vertical="center"/>
    </xf>
    <xf numFmtId="49" fontId="23" fillId="0" borderId="17" xfId="5" applyNumberFormat="1" applyFont="1" applyBorder="1" applyAlignment="1">
      <alignment vertical="center"/>
    </xf>
    <xf numFmtId="49" fontId="23" fillId="0" borderId="13" xfId="5" applyNumberFormat="1" applyFont="1" applyBorder="1" applyAlignment="1">
      <alignment vertical="center" wrapText="1"/>
    </xf>
    <xf numFmtId="49" fontId="23" fillId="0" borderId="13" xfId="5" applyNumberFormat="1" applyFont="1" applyBorder="1" applyAlignment="1">
      <alignment horizontal="center" vertical="center"/>
    </xf>
    <xf numFmtId="168" fontId="23" fillId="0" borderId="13" xfId="5" applyNumberFormat="1" applyFont="1" applyBorder="1" applyAlignment="1">
      <alignment horizontal="right" vertical="center"/>
    </xf>
    <xf numFmtId="167" fontId="23" fillId="0" borderId="13" xfId="5" applyNumberFormat="1" applyFont="1" applyBorder="1" applyAlignment="1">
      <alignment horizontal="right" vertical="center"/>
    </xf>
    <xf numFmtId="167" fontId="23" fillId="0" borderId="18" xfId="5" applyNumberFormat="1" applyFont="1" applyBorder="1" applyAlignment="1">
      <alignment horizontal="right" vertical="center"/>
    </xf>
    <xf numFmtId="49" fontId="23" fillId="0" borderId="19" xfId="6" applyNumberFormat="1" applyFont="1" applyBorder="1" applyAlignment="1">
      <alignment horizontal="left" vertical="center"/>
    </xf>
    <xf numFmtId="0" fontId="23" fillId="0" borderId="20" xfId="6" applyFont="1" applyBorder="1" applyAlignment="1">
      <alignment vertical="center"/>
    </xf>
    <xf numFmtId="0" fontId="23" fillId="0" borderId="20" xfId="6" applyFont="1" applyBorder="1" applyAlignment="1">
      <alignment horizontal="center" vertical="center"/>
    </xf>
    <xf numFmtId="0" fontId="23" fillId="0" borderId="20" xfId="6" applyFont="1" applyBorder="1" applyAlignment="1">
      <alignment horizontal="right" vertical="center"/>
    </xf>
    <xf numFmtId="167" fontId="23" fillId="0" borderId="20" xfId="6" applyNumberFormat="1" applyFont="1" applyBorder="1" applyAlignment="1">
      <alignment horizontal="right" vertical="center"/>
    </xf>
    <xf numFmtId="167" fontId="24" fillId="4" borderId="21" xfId="6" applyNumberFormat="1" applyFont="1" applyFill="1" applyBorder="1" applyAlignment="1">
      <alignment horizontal="right" vertical="center"/>
    </xf>
    <xf numFmtId="167" fontId="25" fillId="0" borderId="0" xfId="0" applyNumberFormat="1" applyFont="1" applyAlignment="1">
      <alignment vertical="center"/>
    </xf>
    <xf numFmtId="168" fontId="25" fillId="0" borderId="0" xfId="0" applyNumberFormat="1" applyFont="1" applyAlignment="1">
      <alignment vertical="center"/>
    </xf>
    <xf numFmtId="0" fontId="23" fillId="0" borderId="0" xfId="5" applyFont="1" applyAlignment="1">
      <alignment vertical="center"/>
    </xf>
    <xf numFmtId="0" fontId="23" fillId="0" borderId="20" xfId="6" applyFont="1" applyBorder="1" applyAlignment="1">
      <alignment horizontal="left" vertical="center"/>
    </xf>
    <xf numFmtId="49" fontId="24" fillId="0" borderId="0" xfId="5" applyNumberFormat="1" applyFont="1" applyAlignment="1">
      <alignment vertical="center" wrapText="1"/>
    </xf>
    <xf numFmtId="0" fontId="23" fillId="0" borderId="0" xfId="5" applyFont="1" applyAlignment="1">
      <alignment horizontal="center" vertical="center"/>
    </xf>
    <xf numFmtId="4" fontId="23" fillId="0" borderId="0" xfId="5" applyNumberFormat="1" applyFont="1" applyAlignment="1">
      <alignment horizontal="right" vertical="center"/>
    </xf>
    <xf numFmtId="167" fontId="24" fillId="0" borderId="0" xfId="5" applyNumberFormat="1" applyFont="1" applyAlignment="1">
      <alignment horizontal="right"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vertical="center"/>
    </xf>
    <xf numFmtId="0" fontId="23" fillId="0" borderId="15" xfId="6" applyFont="1" applyBorder="1" applyAlignment="1">
      <alignment horizontal="center" vertical="center"/>
    </xf>
    <xf numFmtId="0" fontId="23" fillId="0" borderId="15" xfId="6" applyFont="1" applyBorder="1" applyAlignment="1">
      <alignment horizontal="right" vertical="center"/>
    </xf>
    <xf numFmtId="167" fontId="23" fillId="0" borderId="15" xfId="6" applyNumberFormat="1" applyFont="1" applyBorder="1" applyAlignment="1">
      <alignment horizontal="right" vertical="center"/>
    </xf>
    <xf numFmtId="167" fontId="23" fillId="0" borderId="16" xfId="6" applyNumberFormat="1" applyFont="1" applyBorder="1" applyAlignment="1">
      <alignment horizontal="right" vertical="center"/>
    </xf>
    <xf numFmtId="0" fontId="23" fillId="0" borderId="17" xfId="6" applyFont="1" applyBorder="1" applyAlignment="1">
      <alignment horizontal="center" vertical="center"/>
    </xf>
    <xf numFmtId="0" fontId="23" fillId="0" borderId="13" xfId="6" applyFont="1" applyBorder="1" applyAlignment="1">
      <alignment vertical="center"/>
    </xf>
    <xf numFmtId="0" fontId="23" fillId="0" borderId="13" xfId="6" applyFont="1" applyBorder="1" applyAlignment="1">
      <alignment horizontal="center" vertical="center"/>
    </xf>
    <xf numFmtId="0" fontId="23" fillId="0" borderId="13" xfId="6" applyFont="1" applyBorder="1" applyAlignment="1">
      <alignment horizontal="right" vertical="center"/>
    </xf>
    <xf numFmtId="167" fontId="23" fillId="0" borderId="13" xfId="6" applyNumberFormat="1" applyFont="1" applyBorder="1" applyAlignment="1">
      <alignment horizontal="right" vertical="center"/>
    </xf>
    <xf numFmtId="167" fontId="23" fillId="0" borderId="18" xfId="6" applyNumberFormat="1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167" fontId="24" fillId="0" borderId="18" xfId="6" applyNumberFormat="1" applyFont="1" applyBorder="1" applyAlignment="1">
      <alignment horizontal="right" vertical="center"/>
    </xf>
    <xf numFmtId="167" fontId="25" fillId="10" borderId="0" xfId="0" applyNumberFormat="1" applyFont="1" applyFill="1" applyAlignment="1">
      <alignment vertical="center"/>
    </xf>
    <xf numFmtId="10" fontId="23" fillId="0" borderId="13" xfId="2" applyNumberFormat="1" applyFont="1" applyFill="1" applyBorder="1" applyAlignment="1">
      <alignment horizontal="right" vertical="center"/>
    </xf>
    <xf numFmtId="0" fontId="23" fillId="0" borderId="19" xfId="6" applyFont="1" applyBorder="1" applyAlignment="1">
      <alignment horizontal="center" vertical="center"/>
    </xf>
    <xf numFmtId="10" fontId="23" fillId="0" borderId="20" xfId="2" applyNumberFormat="1" applyFont="1" applyFill="1" applyBorder="1" applyAlignment="1">
      <alignment horizontal="right" vertical="center"/>
    </xf>
    <xf numFmtId="167" fontId="23" fillId="0" borderId="21" xfId="6" applyNumberFormat="1" applyFont="1" applyBorder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10" fontId="23" fillId="0" borderId="0" xfId="2" applyNumberFormat="1" applyFont="1" applyFill="1" applyBorder="1" applyAlignment="1">
      <alignment horizontal="right" vertical="center"/>
    </xf>
    <xf numFmtId="167" fontId="23" fillId="0" borderId="0" xfId="6" applyNumberFormat="1" applyFont="1" applyAlignment="1">
      <alignment horizontal="right" vertical="center"/>
    </xf>
    <xf numFmtId="167" fontId="24" fillId="4" borderId="16" xfId="6" applyNumberFormat="1" applyFont="1" applyFill="1" applyBorder="1" applyAlignment="1">
      <alignment horizontal="right" vertical="center"/>
    </xf>
    <xf numFmtId="167" fontId="25" fillId="0" borderId="0" xfId="3" applyNumberFormat="1" applyFont="1" applyFill="1" applyAlignment="1">
      <alignment horizontal="center" vertical="center"/>
    </xf>
    <xf numFmtId="167" fontId="24" fillId="7" borderId="18" xfId="6" applyNumberFormat="1" applyFont="1" applyFill="1" applyBorder="1" applyAlignment="1">
      <alignment horizontal="right" vertical="center"/>
    </xf>
    <xf numFmtId="167" fontId="24" fillId="0" borderId="21" xfId="6" applyNumberFormat="1" applyFont="1" applyBorder="1" applyAlignment="1">
      <alignment horizontal="right" vertical="center"/>
    </xf>
    <xf numFmtId="49" fontId="23" fillId="0" borderId="22" xfId="5" applyNumberFormat="1" applyFont="1" applyBorder="1" applyAlignment="1">
      <alignment vertical="center"/>
    </xf>
    <xf numFmtId="49" fontId="23" fillId="0" borderId="23" xfId="5" applyNumberFormat="1" applyFont="1" applyBorder="1" applyAlignment="1">
      <alignment vertical="center" wrapText="1"/>
    </xf>
    <xf numFmtId="49" fontId="23" fillId="0" borderId="23" xfId="5" applyNumberFormat="1" applyFont="1" applyBorder="1" applyAlignment="1">
      <alignment horizontal="center" vertical="center"/>
    </xf>
    <xf numFmtId="168" fontId="23" fillId="0" borderId="23" xfId="5" applyNumberFormat="1" applyFont="1" applyBorder="1" applyAlignment="1">
      <alignment horizontal="right" vertical="center"/>
    </xf>
    <xf numFmtId="167" fontId="23" fillId="0" borderId="23" xfId="5" applyNumberFormat="1" applyFont="1" applyBorder="1" applyAlignment="1">
      <alignment horizontal="right" vertical="center"/>
    </xf>
    <xf numFmtId="167" fontId="23" fillId="0" borderId="24" xfId="5" applyNumberFormat="1" applyFont="1" applyBorder="1" applyAlignment="1">
      <alignment horizontal="right" vertical="center"/>
    </xf>
    <xf numFmtId="0" fontId="4" fillId="4" borderId="7" xfId="0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 wrapText="1"/>
    </xf>
    <xf numFmtId="43" fontId="4" fillId="2" borderId="0" xfId="1" applyFont="1" applyFill="1" applyBorder="1" applyAlignment="1">
      <alignment horizontal="center" vertical="center"/>
    </xf>
    <xf numFmtId="165" fontId="0" fillId="0" borderId="0" xfId="0" applyNumberFormat="1"/>
    <xf numFmtId="169" fontId="0" fillId="0" borderId="0" xfId="0" applyNumberFormat="1"/>
    <xf numFmtId="2" fontId="4" fillId="4" borderId="7" xfId="0" applyNumberFormat="1" applyFont="1" applyFill="1" applyBorder="1" applyAlignment="1">
      <alignment vertical="center"/>
    </xf>
    <xf numFmtId="164" fontId="0" fillId="4" borderId="2" xfId="0" applyNumberFormat="1" applyFill="1" applyBorder="1" applyAlignment="1">
      <alignment horizontal="right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2" fontId="4" fillId="2" borderId="26" xfId="0" applyNumberFormat="1" applyFont="1" applyFill="1" applyBorder="1" applyAlignment="1">
      <alignment horizontal="center" vertical="center"/>
    </xf>
    <xf numFmtId="164" fontId="4" fillId="2" borderId="27" xfId="0" applyNumberFormat="1" applyFont="1" applyFill="1" applyBorder="1" applyAlignment="1">
      <alignment horizontal="right" vertical="center"/>
    </xf>
    <xf numFmtId="0" fontId="28" fillId="4" borderId="0" xfId="0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right" vertical="center"/>
    </xf>
    <xf numFmtId="164" fontId="0" fillId="4" borderId="8" xfId="0" applyNumberFormat="1" applyFill="1" applyBorder="1" applyAlignment="1">
      <alignment horizontal="right" vertical="center"/>
    </xf>
    <xf numFmtId="49" fontId="29" fillId="9" borderId="13" xfId="5" applyNumberFormat="1" applyFont="1" applyFill="1" applyBorder="1" applyAlignment="1">
      <alignment vertical="center" wrapText="1"/>
    </xf>
    <xf numFmtId="49" fontId="29" fillId="9" borderId="13" xfId="5" applyNumberFormat="1" applyFont="1" applyFill="1" applyBorder="1" applyAlignment="1">
      <alignment horizontal="center" vertical="center" wrapText="1"/>
    </xf>
    <xf numFmtId="49" fontId="23" fillId="0" borderId="13" xfId="5" applyNumberFormat="1" applyFont="1" applyBorder="1" applyAlignment="1">
      <alignment vertical="top"/>
    </xf>
    <xf numFmtId="167" fontId="23" fillId="11" borderId="13" xfId="5" applyNumberFormat="1" applyFont="1" applyFill="1" applyBorder="1" applyAlignment="1">
      <alignment vertical="top"/>
    </xf>
    <xf numFmtId="49" fontId="23" fillId="0" borderId="13" xfId="6" applyNumberFormat="1" applyFont="1" applyBorder="1" applyAlignment="1">
      <alignment horizontal="left" vertical="center"/>
    </xf>
    <xf numFmtId="167" fontId="23" fillId="0" borderId="13" xfId="6" applyNumberFormat="1" applyFont="1" applyBorder="1" applyAlignment="1">
      <alignment vertical="center"/>
    </xf>
    <xf numFmtId="167" fontId="24" fillId="11" borderId="13" xfId="6" applyNumberFormat="1" applyFont="1" applyFill="1" applyBorder="1" applyAlignment="1">
      <alignment vertical="center"/>
    </xf>
    <xf numFmtId="0" fontId="23" fillId="0" borderId="13" xfId="5" applyFont="1" applyBorder="1" applyAlignment="1">
      <alignment vertical="top"/>
    </xf>
    <xf numFmtId="0" fontId="23" fillId="0" borderId="13" xfId="6" applyFont="1" applyBorder="1" applyAlignment="1">
      <alignment horizontal="left" vertical="center"/>
    </xf>
    <xf numFmtId="167" fontId="23" fillId="0" borderId="13" xfId="6" applyNumberFormat="1" applyFont="1" applyBorder="1" applyAlignment="1">
      <alignment horizontal="left" vertical="center"/>
    </xf>
    <xf numFmtId="167" fontId="24" fillId="11" borderId="13" xfId="5" applyNumberFormat="1" applyFont="1" applyFill="1" applyBorder="1" applyAlignment="1">
      <alignment vertical="top"/>
    </xf>
    <xf numFmtId="49" fontId="24" fillId="0" borderId="13" xfId="5" applyNumberFormat="1" applyFont="1" applyBorder="1" applyAlignment="1">
      <alignment vertical="top" wrapText="1"/>
    </xf>
    <xf numFmtId="0" fontId="23" fillId="0" borderId="13" xfId="5" applyFont="1" applyBorder="1" applyAlignment="1">
      <alignment horizontal="center" vertical="top"/>
    </xf>
    <xf numFmtId="4" fontId="23" fillId="0" borderId="13" xfId="5" applyNumberFormat="1" applyFont="1" applyBorder="1" applyAlignment="1">
      <alignment vertical="top"/>
    </xf>
    <xf numFmtId="167" fontId="25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0" fillId="12" borderId="0" xfId="0" applyFill="1"/>
    <xf numFmtId="0" fontId="0" fillId="12" borderId="0" xfId="0" applyFill="1" applyAlignment="1">
      <alignment horizontal="right"/>
    </xf>
    <xf numFmtId="2" fontId="0" fillId="0" borderId="0" xfId="0" applyNumberFormat="1"/>
    <xf numFmtId="170" fontId="0" fillId="0" borderId="0" xfId="0" applyNumberFormat="1"/>
    <xf numFmtId="172" fontId="8" fillId="0" borderId="0" xfId="0" applyNumberFormat="1" applyFont="1" applyAlignment="1">
      <alignment horizontal="right" vertical="center" wrapText="1"/>
    </xf>
    <xf numFmtId="171" fontId="4" fillId="2" borderId="27" xfId="0" applyNumberFormat="1" applyFont="1" applyFill="1" applyBorder="1" applyAlignment="1">
      <alignment horizontal="right" vertical="center"/>
    </xf>
    <xf numFmtId="171" fontId="4" fillId="2" borderId="8" xfId="0" applyNumberFormat="1" applyFont="1" applyFill="1" applyBorder="1" applyAlignment="1">
      <alignment horizontal="right" vertical="center"/>
    </xf>
    <xf numFmtId="171" fontId="22" fillId="2" borderId="8" xfId="0" applyNumberFormat="1" applyFont="1" applyFill="1" applyBorder="1" applyAlignment="1">
      <alignment horizontal="right" vertical="center"/>
    </xf>
    <xf numFmtId="169" fontId="0" fillId="0" borderId="0" xfId="0" applyNumberFormat="1" applyAlignment="1">
      <alignment vertical="center"/>
    </xf>
    <xf numFmtId="0" fontId="4" fillId="2" borderId="26" xfId="0" applyFont="1" applyFill="1" applyBorder="1" applyAlignment="1">
      <alignment horizontal="left" vertical="center" wrapText="1"/>
    </xf>
    <xf numFmtId="0" fontId="4" fillId="2" borderId="26" xfId="0" applyFont="1" applyFill="1" applyBorder="1" applyAlignment="1">
      <alignment horizontal="center" vertical="center" wrapText="1"/>
    </xf>
    <xf numFmtId="171" fontId="22" fillId="2" borderId="11" xfId="0" applyNumberFormat="1" applyFont="1" applyFill="1" applyBorder="1" applyAlignment="1">
      <alignment horizontal="right" vertical="center"/>
    </xf>
    <xf numFmtId="171" fontId="4" fillId="2" borderId="26" xfId="0" applyNumberFormat="1" applyFont="1" applyFill="1" applyBorder="1" applyAlignment="1">
      <alignment horizontal="center" vertical="center"/>
    </xf>
    <xf numFmtId="171" fontId="4" fillId="2" borderId="0" xfId="0" applyNumberFormat="1" applyFont="1" applyFill="1" applyAlignment="1">
      <alignment horizontal="center" vertical="center"/>
    </xf>
    <xf numFmtId="43" fontId="4" fillId="2" borderId="26" xfId="1" applyFont="1" applyFill="1" applyBorder="1" applyAlignment="1">
      <alignment horizontal="center" vertical="center"/>
    </xf>
    <xf numFmtId="173" fontId="4" fillId="2" borderId="26" xfId="0" applyNumberFormat="1" applyFont="1" applyFill="1" applyBorder="1" applyAlignment="1">
      <alignment horizontal="center" vertical="center"/>
    </xf>
    <xf numFmtId="173" fontId="4" fillId="2" borderId="0" xfId="0" applyNumberFormat="1" applyFont="1" applyFill="1" applyAlignment="1">
      <alignment horizontal="center" vertical="center"/>
    </xf>
    <xf numFmtId="164" fontId="10" fillId="2" borderId="11" xfId="0" applyNumberFormat="1" applyFont="1" applyFill="1" applyBorder="1" applyAlignment="1">
      <alignment horizontal="right" vertical="center"/>
    </xf>
    <xf numFmtId="172" fontId="0" fillId="0" borderId="0" xfId="0" applyNumberFormat="1"/>
    <xf numFmtId="49" fontId="29" fillId="13" borderId="13" xfId="5" applyNumberFormat="1" applyFont="1" applyFill="1" applyBorder="1" applyAlignment="1">
      <alignment vertical="center" wrapText="1"/>
    </xf>
    <xf numFmtId="49" fontId="29" fillId="13" borderId="13" xfId="5" applyNumberFormat="1" applyFont="1" applyFill="1" applyBorder="1" applyAlignment="1">
      <alignment horizontal="center" vertical="center" wrapText="1"/>
    </xf>
    <xf numFmtId="3" fontId="29" fillId="13" borderId="13" xfId="5" applyNumberFormat="1" applyFont="1" applyFill="1" applyBorder="1" applyAlignment="1">
      <alignment vertical="center" wrapText="1"/>
    </xf>
    <xf numFmtId="167" fontId="29" fillId="13" borderId="13" xfId="5" applyNumberFormat="1" applyFont="1" applyFill="1" applyBorder="1" applyAlignment="1">
      <alignment vertical="center" wrapText="1"/>
    </xf>
    <xf numFmtId="0" fontId="11" fillId="0" borderId="0" xfId="0" applyFont="1" applyAlignment="1">
      <alignment wrapText="1"/>
    </xf>
    <xf numFmtId="4" fontId="29" fillId="9" borderId="13" xfId="5" applyNumberFormat="1" applyFont="1" applyFill="1" applyBorder="1" applyAlignment="1">
      <alignment vertical="center" wrapText="1"/>
    </xf>
    <xf numFmtId="167" fontId="29" fillId="9" borderId="13" xfId="5" applyNumberFormat="1" applyFont="1" applyFill="1" applyBorder="1" applyAlignment="1">
      <alignment vertical="center" wrapText="1"/>
    </xf>
    <xf numFmtId="0" fontId="24" fillId="0" borderId="26" xfId="6" applyFont="1" applyBorder="1" applyAlignment="1">
      <alignment horizontal="center"/>
    </xf>
    <xf numFmtId="0" fontId="24" fillId="0" borderId="26" xfId="6" applyFont="1" applyBorder="1"/>
    <xf numFmtId="0" fontId="23" fillId="0" borderId="26" xfId="6" applyFont="1" applyBorder="1" applyAlignment="1">
      <alignment horizontal="center"/>
    </xf>
    <xf numFmtId="167" fontId="23" fillId="0" borderId="26" xfId="6" applyNumberFormat="1" applyFont="1" applyBorder="1"/>
    <xf numFmtId="167" fontId="24" fillId="0" borderId="31" xfId="6" applyNumberFormat="1" applyFont="1" applyBorder="1"/>
    <xf numFmtId="0" fontId="23" fillId="0" borderId="0" xfId="6" applyFont="1" applyAlignment="1">
      <alignment horizontal="center"/>
    </xf>
    <xf numFmtId="0" fontId="23" fillId="0" borderId="0" xfId="6" applyFont="1"/>
    <xf numFmtId="167" fontId="23" fillId="0" borderId="0" xfId="6" applyNumberFormat="1" applyFont="1"/>
    <xf numFmtId="167" fontId="23" fillId="0" borderId="32" xfId="6" applyNumberFormat="1" applyFont="1" applyBorder="1"/>
    <xf numFmtId="167" fontId="23" fillId="0" borderId="33" xfId="6" applyNumberFormat="1" applyFont="1" applyBorder="1"/>
    <xf numFmtId="0" fontId="24" fillId="0" borderId="1" xfId="6" applyFont="1" applyBorder="1" applyAlignment="1">
      <alignment horizontal="center"/>
    </xf>
    <xf numFmtId="0" fontId="24" fillId="0" borderId="1" xfId="6" applyFont="1" applyBorder="1"/>
    <xf numFmtId="0" fontId="23" fillId="0" borderId="1" xfId="6" applyFont="1" applyBorder="1" applyAlignment="1">
      <alignment horizontal="center"/>
    </xf>
    <xf numFmtId="167" fontId="23" fillId="0" borderId="1" xfId="6" applyNumberFormat="1" applyFont="1" applyBorder="1"/>
    <xf numFmtId="167" fontId="24" fillId="0" borderId="33" xfId="6" applyNumberFormat="1" applyFont="1" applyBorder="1"/>
    <xf numFmtId="167" fontId="0" fillId="7" borderId="0" xfId="0" applyNumberFormat="1" applyFill="1"/>
    <xf numFmtId="10" fontId="23" fillId="0" borderId="0" xfId="2" applyNumberFormat="1" applyFont="1" applyBorder="1" applyAlignment="1">
      <alignment horizontal="center"/>
    </xf>
    <xf numFmtId="0" fontId="24" fillId="0" borderId="0" xfId="6" applyFont="1" applyAlignment="1">
      <alignment horizontal="center"/>
    </xf>
    <xf numFmtId="0" fontId="24" fillId="0" borderId="0" xfId="6" applyFont="1"/>
    <xf numFmtId="167" fontId="24" fillId="0" borderId="32" xfId="6" applyNumberFormat="1" applyFont="1" applyBorder="1"/>
    <xf numFmtId="167" fontId="0" fillId="9" borderId="0" xfId="0" applyNumberFormat="1" applyFill="1"/>
    <xf numFmtId="167" fontId="0" fillId="8" borderId="0" xfId="0" applyNumberFormat="1" applyFill="1"/>
    <xf numFmtId="0" fontId="24" fillId="0" borderId="34" xfId="6" applyFont="1" applyBorder="1" applyAlignment="1">
      <alignment horizontal="center"/>
    </xf>
    <xf numFmtId="0" fontId="24" fillId="0" borderId="34" xfId="6" applyFont="1" applyBorder="1"/>
    <xf numFmtId="0" fontId="23" fillId="0" borderId="34" xfId="6" applyFont="1" applyBorder="1" applyAlignment="1">
      <alignment horizontal="center"/>
    </xf>
    <xf numFmtId="167" fontId="23" fillId="0" borderId="34" xfId="6" applyNumberFormat="1" applyFont="1" applyBorder="1"/>
    <xf numFmtId="167" fontId="24" fillId="14" borderId="35" xfId="6" applyNumberFormat="1" applyFont="1" applyFill="1" applyBorder="1"/>
    <xf numFmtId="167" fontId="0" fillId="0" borderId="0" xfId="0" applyNumberFormat="1"/>
    <xf numFmtId="49" fontId="29" fillId="15" borderId="13" xfId="5" applyNumberFormat="1" applyFont="1" applyFill="1" applyBorder="1" applyAlignment="1">
      <alignment vertical="center" wrapText="1"/>
    </xf>
    <xf numFmtId="49" fontId="29" fillId="15" borderId="13" xfId="5" applyNumberFormat="1" applyFont="1" applyFill="1" applyBorder="1" applyAlignment="1">
      <alignment horizontal="center" vertical="center" wrapText="1"/>
    </xf>
    <xf numFmtId="4" fontId="29" fillId="15" borderId="13" xfId="5" applyNumberFormat="1" applyFont="1" applyFill="1" applyBorder="1" applyAlignment="1">
      <alignment vertical="center" wrapText="1"/>
    </xf>
    <xf numFmtId="167" fontId="29" fillId="15" borderId="13" xfId="5" applyNumberFormat="1" applyFont="1" applyFill="1" applyBorder="1" applyAlignment="1">
      <alignment vertical="center" wrapText="1"/>
    </xf>
    <xf numFmtId="167" fontId="24" fillId="14" borderId="32" xfId="6" applyNumberFormat="1" applyFont="1" applyFill="1" applyBorder="1"/>
    <xf numFmtId="0" fontId="23" fillId="0" borderId="35" xfId="6" applyFont="1" applyBorder="1" applyAlignment="1">
      <alignment horizontal="center" vertical="center"/>
    </xf>
    <xf numFmtId="0" fontId="23" fillId="0" borderId="36" xfId="6" applyFont="1" applyBorder="1" applyAlignment="1">
      <alignment vertical="center"/>
    </xf>
    <xf numFmtId="0" fontId="23" fillId="0" borderId="36" xfId="6" applyFont="1" applyBorder="1" applyAlignment="1">
      <alignment horizontal="center" vertical="center"/>
    </xf>
    <xf numFmtId="0" fontId="23" fillId="0" borderId="36" xfId="6" applyFont="1" applyBorder="1" applyAlignment="1">
      <alignment horizontal="right" vertical="center"/>
    </xf>
    <xf numFmtId="167" fontId="23" fillId="0" borderId="36" xfId="6" applyNumberFormat="1" applyFont="1" applyBorder="1" applyAlignment="1">
      <alignment horizontal="right" vertical="center"/>
    </xf>
    <xf numFmtId="167" fontId="24" fillId="7" borderId="37" xfId="6" applyNumberFormat="1" applyFont="1" applyFill="1" applyBorder="1" applyAlignment="1">
      <alignment horizontal="right" vertical="center"/>
    </xf>
    <xf numFmtId="166" fontId="30" fillId="0" borderId="0" xfId="0" applyNumberFormat="1" applyFont="1" applyAlignment="1">
      <alignment vertical="center" wrapText="1"/>
    </xf>
    <xf numFmtId="171" fontId="0" fillId="0" borderId="0" xfId="0" applyNumberFormat="1"/>
    <xf numFmtId="9" fontId="25" fillId="0" borderId="0" xfId="3" applyFont="1" applyFill="1" applyAlignment="1">
      <alignment vertical="center" wrapText="1"/>
    </xf>
    <xf numFmtId="172" fontId="0" fillId="4" borderId="30" xfId="0" applyNumberFormat="1" applyFill="1" applyBorder="1" applyAlignment="1">
      <alignment horizontal="right" vertical="center"/>
    </xf>
    <xf numFmtId="172" fontId="4" fillId="2" borderId="8" xfId="0" applyNumberFormat="1" applyFont="1" applyFill="1" applyBorder="1" applyAlignment="1">
      <alignment horizontal="right" vertical="center"/>
    </xf>
    <xf numFmtId="172" fontId="22" fillId="2" borderId="8" xfId="0" applyNumberFormat="1" applyFont="1" applyFill="1" applyBorder="1" applyAlignment="1">
      <alignment horizontal="right" vertical="center"/>
    </xf>
    <xf numFmtId="166" fontId="4" fillId="2" borderId="26" xfId="0" applyNumberFormat="1" applyFont="1" applyFill="1" applyBorder="1" applyAlignment="1">
      <alignment horizontal="center" vertical="center"/>
    </xf>
    <xf numFmtId="166" fontId="4" fillId="2" borderId="27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center" vertical="center"/>
    </xf>
    <xf numFmtId="166" fontId="4" fillId="2" borderId="8" xfId="0" applyNumberFormat="1" applyFont="1" applyFill="1" applyBorder="1" applyAlignment="1">
      <alignment horizontal="right" vertical="center"/>
    </xf>
    <xf numFmtId="166" fontId="22" fillId="2" borderId="8" xfId="0" applyNumberFormat="1" applyFont="1" applyFill="1" applyBorder="1" applyAlignment="1">
      <alignment horizontal="right" vertical="center"/>
    </xf>
    <xf numFmtId="166" fontId="22" fillId="2" borderId="11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right" vertical="center" wrapText="1"/>
    </xf>
    <xf numFmtId="2" fontId="16" fillId="4" borderId="1" xfId="0" applyNumberFormat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174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32" fillId="2" borderId="9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6" fillId="4" borderId="1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2" fontId="0" fillId="2" borderId="0" xfId="0" applyNumberFormat="1" applyFill="1" applyAlignment="1">
      <alignment vertical="center"/>
    </xf>
    <xf numFmtId="0" fontId="8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8" xfId="0" applyFill="1" applyBorder="1" applyAlignment="1">
      <alignment vertical="center"/>
    </xf>
    <xf numFmtId="2" fontId="0" fillId="7" borderId="0" xfId="0" applyNumberFormat="1" applyFill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center" vertical="center"/>
    </xf>
    <xf numFmtId="0" fontId="0" fillId="7" borderId="7" xfId="0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0" fillId="7" borderId="0" xfId="0" applyFill="1"/>
    <xf numFmtId="0" fontId="0" fillId="0" borderId="38" xfId="0" applyBorder="1"/>
    <xf numFmtId="0" fontId="0" fillId="0" borderId="39" xfId="0" applyBorder="1"/>
    <xf numFmtId="43" fontId="14" fillId="2" borderId="0" xfId="1" applyFont="1" applyFill="1" applyBorder="1" applyAlignment="1">
      <alignment horizontal="right" vertical="center" wrapText="1"/>
    </xf>
    <xf numFmtId="10" fontId="3" fillId="2" borderId="0" xfId="3" applyNumberFormat="1" applyFont="1" applyFill="1" applyBorder="1" applyAlignment="1">
      <alignment horizontal="center" vertical="center"/>
    </xf>
    <xf numFmtId="0" fontId="0" fillId="15" borderId="0" xfId="0" applyFill="1"/>
    <xf numFmtId="0" fontId="16" fillId="15" borderId="0" xfId="0" applyFont="1" applyFill="1"/>
    <xf numFmtId="0" fontId="4" fillId="16" borderId="7" xfId="0" applyFont="1" applyFill="1" applyBorder="1" applyAlignment="1">
      <alignment horizontal="center" vertical="center"/>
    </xf>
    <xf numFmtId="172" fontId="0" fillId="16" borderId="2" xfId="0" applyNumberFormat="1" applyFill="1" applyBorder="1" applyAlignment="1">
      <alignment horizontal="right" vertical="center"/>
    </xf>
    <xf numFmtId="175" fontId="0" fillId="0" borderId="0" xfId="0" applyNumberFormat="1"/>
    <xf numFmtId="44" fontId="0" fillId="0" borderId="0" xfId="4" applyFont="1"/>
    <xf numFmtId="44" fontId="0" fillId="0" borderId="0" xfId="0" applyNumberFormat="1"/>
    <xf numFmtId="0" fontId="0" fillId="2" borderId="0" xfId="0" applyFill="1"/>
    <xf numFmtId="176" fontId="0" fillId="0" borderId="0" xfId="0" applyNumberFormat="1" applyAlignment="1">
      <alignment vertical="center" wrapText="1"/>
    </xf>
    <xf numFmtId="176" fontId="16" fillId="2" borderId="4" xfId="0" applyNumberFormat="1" applyFont="1" applyFill="1" applyBorder="1" applyAlignment="1">
      <alignment horizontal="center" vertical="center" wrapText="1"/>
    </xf>
    <xf numFmtId="176" fontId="0" fillId="16" borderId="7" xfId="0" applyNumberFormat="1" applyFill="1" applyBorder="1" applyAlignment="1">
      <alignment horizontal="right" vertical="center"/>
    </xf>
    <xf numFmtId="176" fontId="4" fillId="2" borderId="0" xfId="0" applyNumberFormat="1" applyFon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66" fontId="0" fillId="2" borderId="0" xfId="0" applyNumberFormat="1" applyFill="1"/>
    <xf numFmtId="172" fontId="4" fillId="5" borderId="8" xfId="0" applyNumberFormat="1" applyFont="1" applyFill="1" applyBorder="1" applyAlignment="1">
      <alignment horizontal="right" vertical="center"/>
    </xf>
    <xf numFmtId="172" fontId="0" fillId="0" borderId="0" xfId="0" applyNumberFormat="1" applyAlignment="1">
      <alignment vertical="center" wrapText="1"/>
    </xf>
    <xf numFmtId="172" fontId="16" fillId="2" borderId="5" xfId="0" applyNumberFormat="1" applyFont="1" applyFill="1" applyBorder="1" applyAlignment="1">
      <alignment horizontal="center" vertical="center"/>
    </xf>
    <xf numFmtId="172" fontId="10" fillId="2" borderId="11" xfId="0" applyNumberFormat="1" applyFont="1" applyFill="1" applyBorder="1" applyAlignment="1">
      <alignment horizontal="right" vertical="center"/>
    </xf>
    <xf numFmtId="172" fontId="36" fillId="2" borderId="11" xfId="0" applyNumberFormat="1" applyFont="1" applyFill="1" applyBorder="1" applyAlignment="1">
      <alignment horizontal="right" vertical="center"/>
    </xf>
    <xf numFmtId="172" fontId="4" fillId="2" borderId="0" xfId="0" applyNumberFormat="1" applyFont="1" applyFill="1" applyAlignment="1">
      <alignment horizontal="right" vertical="center"/>
    </xf>
    <xf numFmtId="172" fontId="0" fillId="0" borderId="0" xfId="0" applyNumberFormat="1" applyAlignment="1">
      <alignment horizontal="right" vertical="center"/>
    </xf>
    <xf numFmtId="176" fontId="0" fillId="0" borderId="0" xfId="0" applyNumberFormat="1"/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3" fillId="0" borderId="0" xfId="6" applyFont="1" applyAlignment="1">
      <alignment horizontal="right" vertical="center"/>
    </xf>
    <xf numFmtId="167" fontId="24" fillId="0" borderId="0" xfId="6" applyNumberFormat="1" applyFont="1" applyAlignment="1">
      <alignment horizontal="right" vertical="center"/>
    </xf>
    <xf numFmtId="170" fontId="30" fillId="0" borderId="0" xfId="0" applyNumberFormat="1" applyFont="1" applyAlignment="1">
      <alignment vertical="center" wrapText="1"/>
    </xf>
    <xf numFmtId="170" fontId="25" fillId="0" borderId="0" xfId="0" applyNumberFormat="1" applyFont="1" applyAlignment="1">
      <alignment vertical="center" wrapText="1"/>
    </xf>
    <xf numFmtId="170" fontId="25" fillId="0" borderId="0" xfId="0" applyNumberFormat="1" applyFont="1" applyAlignment="1">
      <alignment vertical="center"/>
    </xf>
    <xf numFmtId="172" fontId="7" fillId="2" borderId="5" xfId="0" applyNumberFormat="1" applyFont="1" applyFill="1" applyBorder="1" applyAlignment="1">
      <alignment horizontal="right" vertical="center"/>
    </xf>
    <xf numFmtId="173" fontId="0" fillId="0" borderId="0" xfId="0" applyNumberFormat="1" applyAlignment="1">
      <alignment vertical="center" wrapText="1"/>
    </xf>
    <xf numFmtId="173" fontId="22" fillId="2" borderId="4" xfId="0" applyNumberFormat="1" applyFont="1" applyFill="1" applyBorder="1" applyAlignment="1">
      <alignment horizontal="center" vertical="center"/>
    </xf>
    <xf numFmtId="173" fontId="4" fillId="16" borderId="7" xfId="0" applyNumberFormat="1" applyFont="1" applyFill="1" applyBorder="1" applyAlignment="1">
      <alignment vertical="center"/>
    </xf>
    <xf numFmtId="173" fontId="4" fillId="5" borderId="0" xfId="0" applyNumberFormat="1" applyFont="1" applyFill="1" applyAlignment="1">
      <alignment horizontal="center" vertical="center"/>
    </xf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6" fillId="4" borderId="10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32" fillId="2" borderId="6" xfId="0" applyFont="1" applyFill="1" applyBorder="1" applyAlignment="1">
      <alignment vertical="center"/>
    </xf>
    <xf numFmtId="0" fontId="32" fillId="2" borderId="7" xfId="0" applyFont="1" applyFill="1" applyBorder="1" applyAlignment="1">
      <alignment vertical="center"/>
    </xf>
    <xf numFmtId="0" fontId="32" fillId="7" borderId="6" xfId="0" applyFont="1" applyFill="1" applyBorder="1" applyAlignment="1">
      <alignment vertical="center"/>
    </xf>
    <xf numFmtId="0" fontId="32" fillId="7" borderId="7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26" fillId="0" borderId="0" xfId="0" applyFont="1" applyAlignment="1">
      <alignment horizontal="right" vertical="top" wrapText="1"/>
    </xf>
    <xf numFmtId="0" fontId="3" fillId="16" borderId="6" xfId="0" applyFont="1" applyFill="1" applyBorder="1" applyAlignment="1">
      <alignment horizontal="left" vertical="center"/>
    </xf>
    <xf numFmtId="0" fontId="3" fillId="16" borderId="7" xfId="0" applyFont="1" applyFill="1" applyBorder="1" applyAlignment="1">
      <alignment horizontal="left" vertical="center"/>
    </xf>
    <xf numFmtId="0" fontId="0" fillId="16" borderId="7" xfId="0" applyFill="1" applyBorder="1" applyAlignment="1">
      <alignment vertical="center"/>
    </xf>
    <xf numFmtId="2" fontId="14" fillId="2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34" fillId="0" borderId="12" xfId="0" applyFont="1" applyBorder="1" applyAlignment="1">
      <alignment horizontal="left" vertical="center" wrapText="1"/>
    </xf>
    <xf numFmtId="0" fontId="35" fillId="0" borderId="12" xfId="0" applyFont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2" fontId="14" fillId="2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2" fontId="37" fillId="2" borderId="3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5" fillId="0" borderId="4" xfId="0" applyFont="1" applyBorder="1" applyAlignment="1">
      <alignment vertical="center"/>
    </xf>
    <xf numFmtId="0" fontId="0" fillId="16" borderId="2" xfId="0" applyFill="1" applyBorder="1" applyAlignment="1">
      <alignment vertical="center"/>
    </xf>
    <xf numFmtId="0" fontId="0" fillId="2" borderId="0" xfId="0" applyFill="1" applyAlignment="1">
      <alignment wrapText="1"/>
    </xf>
    <xf numFmtId="166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7" fillId="3" borderId="0" xfId="0" applyFont="1" applyFill="1" applyAlignment="1">
      <alignment horizontal="right" vertical="center"/>
    </xf>
    <xf numFmtId="0" fontId="15" fillId="0" borderId="0" xfId="0" applyFont="1"/>
    <xf numFmtId="0" fontId="21" fillId="0" borderId="0" xfId="0" applyFont="1" applyAlignment="1">
      <alignment vertical="top" wrapText="1"/>
    </xf>
    <xf numFmtId="164" fontId="17" fillId="3" borderId="0" xfId="0" applyNumberFormat="1" applyFont="1" applyFill="1" applyAlignment="1">
      <alignment horizontal="righ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10" fontId="7" fillId="2" borderId="3" xfId="0" applyNumberFormat="1" applyFont="1" applyFill="1" applyBorder="1" applyAlignment="1">
      <alignment horizontal="right" vertical="center" wrapText="1"/>
    </xf>
    <xf numFmtId="10" fontId="7" fillId="2" borderId="4" xfId="0" applyNumberFormat="1" applyFont="1" applyFill="1" applyBorder="1" applyAlignment="1">
      <alignment horizontal="right" vertical="center" wrapText="1"/>
    </xf>
    <xf numFmtId="2" fontId="7" fillId="2" borderId="7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3" fillId="6" borderId="28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6" borderId="30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0" fillId="6" borderId="7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4" borderId="28" xfId="0" applyFont="1" applyFill="1" applyBorder="1" applyAlignment="1">
      <alignment horizontal="left" vertical="center"/>
    </xf>
    <xf numFmtId="0" fontId="3" fillId="4" borderId="29" xfId="0" applyFont="1" applyFill="1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3" fillId="4" borderId="9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6" fillId="0" borderId="0" xfId="0" applyFont="1" applyAlignment="1">
      <alignment horizontal="right" vertical="center" wrapText="1"/>
    </xf>
    <xf numFmtId="0" fontId="1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9" fontId="4" fillId="2" borderId="8" xfId="0" applyNumberFormat="1" applyFont="1" applyFill="1" applyBorder="1" applyAlignment="1">
      <alignment horizontal="right" vertical="center"/>
    </xf>
  </cellXfs>
  <cellStyles count="8">
    <cellStyle name="Excel Built-in Percent" xfId="7" xr:uid="{6E2FF257-AFC9-496C-B6F1-C7CEA12D4829}"/>
    <cellStyle name="Millares" xfId="1" builtinId="3"/>
    <cellStyle name="Moneda" xfId="4" builtinId="4"/>
    <cellStyle name="Normal" xfId="0" builtinId="0"/>
    <cellStyle name="Normal_12-13 - Computo y Pres. reajustado_vibraciones anali precios" xfId="6" xr:uid="{00000000-0005-0000-0000-000003000000}"/>
    <cellStyle name="Normal_vibraciones anali precios" xfId="5" xr:uid="{00000000-0005-0000-0000-000004000000}"/>
    <cellStyle name="Porcentaje" xfId="3" builtinId="5"/>
    <cellStyle name="Porcentual_12-13 - Computo y Pres. reajustado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730E-0237-466B-BE74-A3328845DBFD}">
  <dimension ref="A2:S118"/>
  <sheetViews>
    <sheetView workbookViewId="0">
      <selection activeCell="M3" sqref="M3"/>
    </sheetView>
  </sheetViews>
  <sheetFormatPr baseColWidth="10" defaultColWidth="11.44140625" defaultRowHeight="14.4" x14ac:dyDescent="0.3"/>
  <cols>
    <col min="1" max="1" width="30.6640625" style="8" customWidth="1"/>
    <col min="2" max="2" width="7.33203125" style="8" customWidth="1"/>
    <col min="3" max="3" width="4.44140625" style="8" customWidth="1"/>
    <col min="4" max="4" width="10" style="8" customWidth="1"/>
    <col min="5" max="5" width="7.33203125" style="8" customWidth="1"/>
    <col min="6" max="6" width="4.44140625" style="8" customWidth="1"/>
    <col min="7" max="7" width="7.33203125" style="8" customWidth="1"/>
    <col min="8" max="8" width="6.6640625" style="8" customWidth="1"/>
    <col min="9" max="9" width="7.88671875" style="8" customWidth="1"/>
    <col min="10" max="10" width="4.44140625" style="8" customWidth="1"/>
    <col min="11" max="11" width="17.33203125" style="8" customWidth="1"/>
    <col min="12" max="12" width="6.109375" style="8" customWidth="1"/>
    <col min="13" max="14" width="11.44140625" style="8"/>
    <col min="15" max="15" width="18" style="8" customWidth="1"/>
    <col min="16" max="16" width="11.44140625" style="8"/>
    <col min="17" max="17" width="15" style="8" bestFit="1" customWidth="1"/>
    <col min="18" max="16384" width="11.44140625" style="8"/>
  </cols>
  <sheetData>
    <row r="2" spans="1:19" ht="27" customHeight="1" thickBot="1" x14ac:dyDescent="0.35">
      <c r="A2" s="8" t="s">
        <v>296</v>
      </c>
      <c r="K2" s="248">
        <f>K30+K40+K51</f>
        <v>2496.1152000000002</v>
      </c>
      <c r="L2" s="249" t="s">
        <v>60</v>
      </c>
      <c r="M2" s="250">
        <v>4.5</v>
      </c>
      <c r="N2" s="43">
        <v>1</v>
      </c>
      <c r="O2" s="250">
        <f>N2*M2*K2</f>
        <v>11232.518400000001</v>
      </c>
      <c r="Q2" s="43">
        <f>O2*380</f>
        <v>4268356.9920000006</v>
      </c>
      <c r="R2" s="8">
        <f>K2*1.3</f>
        <v>3244.9497600000004</v>
      </c>
      <c r="S2" s="8">
        <f>R2*380</f>
        <v>1233080.9088000001</v>
      </c>
    </row>
    <row r="3" spans="1:19" ht="15" thickBot="1" x14ac:dyDescent="0.35"/>
    <row r="4" spans="1:19" x14ac:dyDescent="0.3">
      <c r="A4" s="328" t="s">
        <v>297</v>
      </c>
      <c r="B4" s="329"/>
      <c r="C4" s="329"/>
      <c r="D4" s="329"/>
      <c r="E4" s="329"/>
      <c r="F4" s="329"/>
      <c r="G4" s="251"/>
      <c r="H4" s="251"/>
      <c r="I4" s="252"/>
      <c r="J4" s="253"/>
      <c r="O4" s="8">
        <f>115*2700</f>
        <v>310500</v>
      </c>
      <c r="Q4" s="8">
        <f>10*12000*6</f>
        <v>720000</v>
      </c>
    </row>
    <row r="5" spans="1:19" x14ac:dyDescent="0.3">
      <c r="A5" s="254"/>
      <c r="B5" s="255"/>
      <c r="C5" s="255"/>
      <c r="D5" s="255"/>
      <c r="E5" s="255"/>
      <c r="F5" s="255"/>
      <c r="G5" s="255"/>
      <c r="H5" s="255"/>
      <c r="I5" s="255"/>
      <c r="J5" s="256"/>
      <c r="Q5" s="8">
        <f>Q4*3</f>
        <v>2160000</v>
      </c>
    </row>
    <row r="6" spans="1:19" x14ac:dyDescent="0.3">
      <c r="A6" s="254" t="s">
        <v>298</v>
      </c>
      <c r="B6" s="324" t="s">
        <v>299</v>
      </c>
      <c r="C6" s="324"/>
      <c r="D6" s="257" t="s">
        <v>300</v>
      </c>
      <c r="E6" s="324" t="s">
        <v>301</v>
      </c>
      <c r="F6" s="324"/>
      <c r="G6" s="324" t="s">
        <v>302</v>
      </c>
      <c r="H6" s="324"/>
      <c r="I6" s="324" t="s">
        <v>303</v>
      </c>
      <c r="J6" s="325"/>
      <c r="K6" s="8">
        <f>200*14500</f>
        <v>2900000</v>
      </c>
      <c r="O6" s="43">
        <f>SUM(O2:O4)</f>
        <v>321732.5184</v>
      </c>
    </row>
    <row r="7" spans="1:19" x14ac:dyDescent="0.3">
      <c r="A7" s="254" t="s">
        <v>304</v>
      </c>
      <c r="B7" s="255">
        <v>0.02</v>
      </c>
      <c r="C7" s="255" t="s">
        <v>24</v>
      </c>
      <c r="D7" s="257">
        <v>24</v>
      </c>
      <c r="E7" s="255">
        <f>D7*B7</f>
        <v>0.48</v>
      </c>
      <c r="F7" s="255" t="s">
        <v>24</v>
      </c>
      <c r="G7" s="255">
        <v>37.68</v>
      </c>
      <c r="H7" s="255" t="s">
        <v>305</v>
      </c>
      <c r="I7" s="255">
        <f>G7*E7</f>
        <v>18.086399999999998</v>
      </c>
      <c r="J7" s="256" t="s">
        <v>60</v>
      </c>
    </row>
    <row r="8" spans="1:19" x14ac:dyDescent="0.3">
      <c r="A8" s="254" t="s">
        <v>306</v>
      </c>
      <c r="B8" s="255">
        <v>0.04</v>
      </c>
      <c r="C8" s="255" t="s">
        <v>24</v>
      </c>
      <c r="D8" s="257">
        <v>12</v>
      </c>
      <c r="E8" s="255">
        <f>D8*B8</f>
        <v>0.48</v>
      </c>
      <c r="F8" s="255" t="s">
        <v>24</v>
      </c>
      <c r="G8" s="255">
        <v>37.68</v>
      </c>
      <c r="H8" s="255" t="s">
        <v>305</v>
      </c>
      <c r="I8" s="255">
        <f>G8*E8</f>
        <v>18.086399999999998</v>
      </c>
      <c r="J8" s="256" t="s">
        <v>60</v>
      </c>
    </row>
    <row r="9" spans="1:19" x14ac:dyDescent="0.3">
      <c r="A9" s="254" t="s">
        <v>307</v>
      </c>
      <c r="B9" s="255">
        <v>0.75</v>
      </c>
      <c r="C9" s="255" t="s">
        <v>308</v>
      </c>
      <c r="D9" s="257">
        <v>24</v>
      </c>
      <c r="E9" s="255">
        <f>B9*D9</f>
        <v>18</v>
      </c>
      <c r="F9" s="255" t="s">
        <v>308</v>
      </c>
      <c r="G9" s="255">
        <v>0.88800000000000001</v>
      </c>
      <c r="H9" s="255" t="s">
        <v>309</v>
      </c>
      <c r="I9" s="255">
        <f>G9*E9</f>
        <v>15.984</v>
      </c>
      <c r="J9" s="256" t="s">
        <v>60</v>
      </c>
      <c r="O9" s="250">
        <f>700000/380</f>
        <v>1842.1052631578948</v>
      </c>
    </row>
    <row r="10" spans="1:19" x14ac:dyDescent="0.3">
      <c r="A10" s="254"/>
      <c r="B10" s="255"/>
      <c r="C10" s="255"/>
      <c r="D10" s="255"/>
      <c r="E10" s="255"/>
      <c r="F10" s="255"/>
      <c r="G10" s="255"/>
      <c r="H10" s="255"/>
      <c r="I10" s="255"/>
      <c r="J10" s="256"/>
      <c r="O10" s="250">
        <f>2500000/380</f>
        <v>6578.9473684210525</v>
      </c>
    </row>
    <row r="11" spans="1:19" x14ac:dyDescent="0.3">
      <c r="A11" s="258" t="s">
        <v>310</v>
      </c>
      <c r="B11" s="255"/>
      <c r="C11" s="255"/>
      <c r="D11" s="255"/>
      <c r="E11" s="255"/>
      <c r="F11" s="255"/>
      <c r="G11" s="255"/>
      <c r="H11" s="255"/>
      <c r="I11" s="255"/>
      <c r="J11" s="256"/>
      <c r="O11" s="250">
        <f>(O10+O9)*1.7</f>
        <v>14315.789473684208</v>
      </c>
      <c r="Q11" s="250">
        <f>(O11-O10-O9)*380</f>
        <v>2239999.9999999991</v>
      </c>
    </row>
    <row r="12" spans="1:19" x14ac:dyDescent="0.3">
      <c r="A12" s="254" t="s">
        <v>311</v>
      </c>
      <c r="B12" s="255">
        <v>30.4</v>
      </c>
      <c r="C12" s="255" t="s">
        <v>308</v>
      </c>
      <c r="D12" s="257">
        <v>1.05</v>
      </c>
      <c r="E12" s="255">
        <f>B12*D12</f>
        <v>31.919999999999998</v>
      </c>
      <c r="F12" s="255" t="s">
        <v>308</v>
      </c>
      <c r="G12" s="255">
        <v>4.0999999999999996</v>
      </c>
      <c r="H12" s="255" t="s">
        <v>309</v>
      </c>
      <c r="I12" s="255">
        <f>G12*E12</f>
        <v>130.87199999999999</v>
      </c>
      <c r="J12" s="256" t="s">
        <v>60</v>
      </c>
    </row>
    <row r="13" spans="1:19" x14ac:dyDescent="0.3">
      <c r="A13" s="254"/>
      <c r="B13" s="255"/>
      <c r="C13" s="255"/>
      <c r="D13" s="255"/>
      <c r="E13" s="255"/>
      <c r="F13" s="255"/>
      <c r="G13" s="255"/>
      <c r="H13" s="255"/>
      <c r="I13" s="255"/>
      <c r="J13" s="256"/>
    </row>
    <row r="14" spans="1:19" s="262" customFormat="1" ht="21.75" customHeight="1" thickBot="1" x14ac:dyDescent="0.35">
      <c r="A14" s="326" t="s">
        <v>312</v>
      </c>
      <c r="B14" s="327"/>
      <c r="C14" s="327"/>
      <c r="D14" s="327"/>
      <c r="E14" s="327"/>
      <c r="F14" s="327"/>
      <c r="G14" s="259"/>
      <c r="H14" s="259"/>
      <c r="I14" s="259"/>
      <c r="J14" s="260"/>
      <c r="K14" s="261"/>
      <c r="L14" s="249"/>
    </row>
    <row r="15" spans="1:19" ht="15" thickBot="1" x14ac:dyDescent="0.35"/>
    <row r="16" spans="1:19" x14ac:dyDescent="0.3">
      <c r="A16" s="328" t="s">
        <v>313</v>
      </c>
      <c r="B16" s="329"/>
      <c r="C16" s="329"/>
      <c r="D16" s="329"/>
      <c r="E16" s="329"/>
      <c r="F16" s="329"/>
      <c r="G16" s="251"/>
      <c r="H16" s="251"/>
      <c r="I16" s="252"/>
      <c r="J16" s="253"/>
    </row>
    <row r="17" spans="1:15" x14ac:dyDescent="0.3">
      <c r="A17" s="254"/>
      <c r="B17" s="255"/>
      <c r="C17" s="255"/>
      <c r="D17" s="255"/>
      <c r="E17" s="255"/>
      <c r="F17" s="255"/>
      <c r="G17" s="255"/>
      <c r="H17" s="255"/>
      <c r="I17" s="255"/>
      <c r="J17" s="256"/>
    </row>
    <row r="18" spans="1:15" x14ac:dyDescent="0.3">
      <c r="A18" s="254" t="s">
        <v>298</v>
      </c>
      <c r="B18" s="324" t="s">
        <v>299</v>
      </c>
      <c r="C18" s="324"/>
      <c r="D18" s="257" t="s">
        <v>300</v>
      </c>
      <c r="E18" s="324" t="s">
        <v>301</v>
      </c>
      <c r="F18" s="324"/>
      <c r="G18" s="324" t="s">
        <v>302</v>
      </c>
      <c r="H18" s="324"/>
      <c r="I18" s="324" t="s">
        <v>303</v>
      </c>
      <c r="J18" s="325"/>
      <c r="O18" s="8">
        <f>17*3.5</f>
        <v>59.5</v>
      </c>
    </row>
    <row r="19" spans="1:15" x14ac:dyDescent="0.3">
      <c r="A19" s="254" t="s">
        <v>314</v>
      </c>
      <c r="B19" s="255">
        <v>2.2499999999999999E-2</v>
      </c>
      <c r="C19" s="255" t="s">
        <v>24</v>
      </c>
      <c r="D19" s="257">
        <v>55</v>
      </c>
      <c r="E19" s="255">
        <f>D19*B19</f>
        <v>1.2375</v>
      </c>
      <c r="F19" s="255" t="s">
        <v>24</v>
      </c>
      <c r="G19" s="255">
        <v>37.68</v>
      </c>
      <c r="H19" s="255" t="s">
        <v>305</v>
      </c>
      <c r="I19" s="255">
        <f>G19*E19</f>
        <v>46.628999999999998</v>
      </c>
      <c r="J19" s="256" t="s">
        <v>60</v>
      </c>
    </row>
    <row r="20" spans="1:15" x14ac:dyDescent="0.3">
      <c r="A20" s="254" t="s">
        <v>315</v>
      </c>
      <c r="B20" s="255">
        <v>1.8</v>
      </c>
      <c r="C20" s="255" t="s">
        <v>24</v>
      </c>
      <c r="D20" s="257">
        <v>55</v>
      </c>
      <c r="E20" s="255">
        <f>D20*B20</f>
        <v>99</v>
      </c>
      <c r="F20" s="255" t="s">
        <v>24</v>
      </c>
      <c r="G20" s="255">
        <v>0.61699999999999999</v>
      </c>
      <c r="H20" s="255" t="s">
        <v>305</v>
      </c>
      <c r="I20" s="255">
        <f>G20*E20</f>
        <v>61.082999999999998</v>
      </c>
      <c r="J20" s="256" t="s">
        <v>60</v>
      </c>
    </row>
    <row r="21" spans="1:15" x14ac:dyDescent="0.3">
      <c r="A21" s="254" t="s">
        <v>316</v>
      </c>
      <c r="B21" s="255">
        <v>0.92</v>
      </c>
      <c r="C21" s="255" t="s">
        <v>308</v>
      </c>
      <c r="D21" s="257">
        <v>55</v>
      </c>
      <c r="E21" s="255">
        <f>B21*D21</f>
        <v>50.6</v>
      </c>
      <c r="F21" s="255" t="s">
        <v>308</v>
      </c>
      <c r="G21" s="255">
        <v>0.222</v>
      </c>
      <c r="H21" s="255" t="s">
        <v>309</v>
      </c>
      <c r="I21" s="255">
        <f>G21*E21</f>
        <v>11.2332</v>
      </c>
      <c r="J21" s="256" t="s">
        <v>60</v>
      </c>
    </row>
    <row r="22" spans="1:15" x14ac:dyDescent="0.3">
      <c r="A22" s="254"/>
      <c r="B22" s="255"/>
      <c r="C22" s="255"/>
      <c r="D22" s="255"/>
      <c r="E22" s="255"/>
      <c r="F22" s="255"/>
      <c r="G22" s="255"/>
      <c r="H22" s="255"/>
      <c r="I22" s="255"/>
      <c r="J22" s="256"/>
    </row>
    <row r="23" spans="1:15" s="262" customFormat="1" ht="21.75" customHeight="1" thickBot="1" x14ac:dyDescent="0.35">
      <c r="A23" s="326" t="s">
        <v>317</v>
      </c>
      <c r="B23" s="327"/>
      <c r="C23" s="327"/>
      <c r="D23" s="327"/>
      <c r="E23" s="327"/>
      <c r="F23" s="327"/>
      <c r="G23" s="259"/>
      <c r="H23" s="259"/>
      <c r="I23" s="259"/>
      <c r="J23" s="260"/>
      <c r="K23" s="261"/>
      <c r="L23" s="249" t="s">
        <v>60</v>
      </c>
    </row>
    <row r="24" spans="1:15" ht="15" thickBot="1" x14ac:dyDescent="0.35"/>
    <row r="25" spans="1:15" x14ac:dyDescent="0.3">
      <c r="A25" s="330" t="s">
        <v>357</v>
      </c>
      <c r="B25" s="331"/>
      <c r="C25" s="331"/>
      <c r="D25" s="331"/>
      <c r="E25" s="331"/>
      <c r="F25" s="331"/>
      <c r="G25" s="274"/>
      <c r="H25" s="274"/>
      <c r="I25" s="275"/>
      <c r="J25" s="276"/>
    </row>
    <row r="26" spans="1:15" x14ac:dyDescent="0.3">
      <c r="A26" s="254"/>
      <c r="B26" s="255"/>
      <c r="C26" s="255"/>
      <c r="D26" s="255"/>
      <c r="E26" s="255"/>
      <c r="F26" s="255"/>
      <c r="G26" s="255"/>
      <c r="H26" s="255"/>
      <c r="I26" s="255"/>
      <c r="J26" s="256"/>
    </row>
    <row r="27" spans="1:15" x14ac:dyDescent="0.3">
      <c r="A27" s="254" t="s">
        <v>298</v>
      </c>
      <c r="B27" s="324" t="s">
        <v>299</v>
      </c>
      <c r="C27" s="324"/>
      <c r="D27" s="257" t="s">
        <v>300</v>
      </c>
      <c r="E27" s="324" t="s">
        <v>301</v>
      </c>
      <c r="F27" s="324"/>
      <c r="G27" s="324" t="s">
        <v>302</v>
      </c>
      <c r="H27" s="324"/>
      <c r="I27" s="324" t="s">
        <v>303</v>
      </c>
      <c r="J27" s="325"/>
    </row>
    <row r="28" spans="1:15" x14ac:dyDescent="0.3">
      <c r="A28" s="254" t="s">
        <v>358</v>
      </c>
      <c r="B28" s="255">
        <v>19</v>
      </c>
      <c r="C28" s="255"/>
      <c r="D28" s="257">
        <f>3.5*2</f>
        <v>7</v>
      </c>
      <c r="E28" s="255">
        <f>D28*B28</f>
        <v>133</v>
      </c>
      <c r="F28" s="255" t="s">
        <v>308</v>
      </c>
      <c r="G28" s="255">
        <v>7.72</v>
      </c>
      <c r="H28" s="255" t="s">
        <v>309</v>
      </c>
      <c r="I28" s="255">
        <f>G28*E28</f>
        <v>1026.76</v>
      </c>
      <c r="J28" s="256" t="s">
        <v>60</v>
      </c>
    </row>
    <row r="29" spans="1:15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5" s="262" customFormat="1" ht="21.75" customHeight="1" thickBot="1" x14ac:dyDescent="0.35">
      <c r="A30" s="326" t="s">
        <v>318</v>
      </c>
      <c r="B30" s="327"/>
      <c r="C30" s="327"/>
      <c r="D30" s="327"/>
      <c r="E30" s="327"/>
      <c r="F30" s="327"/>
      <c r="G30" s="259"/>
      <c r="H30" s="259"/>
      <c r="I30" s="259"/>
      <c r="J30" s="260"/>
      <c r="K30" s="271">
        <f>SUM(I28:I29)</f>
        <v>1026.76</v>
      </c>
      <c r="L30" s="249" t="s">
        <v>60</v>
      </c>
    </row>
    <row r="31" spans="1:15" ht="15" thickBot="1" x14ac:dyDescent="0.35"/>
    <row r="32" spans="1:15" x14ac:dyDescent="0.3">
      <c r="A32" s="328" t="s">
        <v>319</v>
      </c>
      <c r="B32" s="329"/>
      <c r="C32" s="329"/>
      <c r="D32" s="329"/>
      <c r="E32" s="329"/>
      <c r="F32" s="329"/>
      <c r="G32" s="251"/>
      <c r="H32" s="251"/>
      <c r="I32" s="252"/>
      <c r="J32" s="253"/>
    </row>
    <row r="33" spans="1:15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5" x14ac:dyDescent="0.3">
      <c r="A34" s="254" t="s">
        <v>298</v>
      </c>
      <c r="B34" s="324" t="s">
        <v>299</v>
      </c>
      <c r="C34" s="324"/>
      <c r="D34" s="257" t="s">
        <v>300</v>
      </c>
      <c r="E34" s="324" t="s">
        <v>301</v>
      </c>
      <c r="F34" s="324"/>
      <c r="G34" s="324" t="s">
        <v>302</v>
      </c>
      <c r="H34" s="324"/>
      <c r="I34" s="324" t="s">
        <v>303</v>
      </c>
      <c r="J34" s="325"/>
    </row>
    <row r="35" spans="1:15" x14ac:dyDescent="0.3">
      <c r="A35" s="254" t="s">
        <v>307</v>
      </c>
      <c r="B35" s="255">
        <v>12</v>
      </c>
      <c r="C35" s="255" t="s">
        <v>308</v>
      </c>
      <c r="D35" s="257">
        <v>3</v>
      </c>
      <c r="E35" s="255">
        <f>B35*D35</f>
        <v>36</v>
      </c>
      <c r="F35" s="255" t="s">
        <v>308</v>
      </c>
      <c r="G35" s="255">
        <v>0.88800000000000001</v>
      </c>
      <c r="H35" s="255" t="s">
        <v>309</v>
      </c>
      <c r="I35" s="255">
        <f>G35*E35</f>
        <v>31.968</v>
      </c>
      <c r="J35" s="256" t="s">
        <v>60</v>
      </c>
    </row>
    <row r="36" spans="1:15" x14ac:dyDescent="0.3">
      <c r="A36" s="254" t="s">
        <v>375</v>
      </c>
      <c r="B36" s="255">
        <f>0.3*0.3</f>
        <v>0.09</v>
      </c>
      <c r="C36" s="255" t="s">
        <v>24</v>
      </c>
      <c r="D36" s="257">
        <v>17</v>
      </c>
      <c r="E36" s="255">
        <f>D36*B36</f>
        <v>1.53</v>
      </c>
      <c r="F36" s="255" t="s">
        <v>24</v>
      </c>
      <c r="G36" s="255">
        <f>25.12*2</f>
        <v>50.24</v>
      </c>
      <c r="H36" s="255" t="s">
        <v>305</v>
      </c>
      <c r="I36" s="255">
        <f>G36*E36</f>
        <v>76.867200000000011</v>
      </c>
      <c r="J36" s="256" t="s">
        <v>60</v>
      </c>
    </row>
    <row r="37" spans="1:15" x14ac:dyDescent="0.3">
      <c r="A37" s="254"/>
      <c r="B37" s="255"/>
      <c r="C37" s="255"/>
      <c r="D37" s="257"/>
      <c r="E37" s="255"/>
      <c r="F37" s="255"/>
      <c r="G37" s="255"/>
      <c r="H37" s="255"/>
      <c r="I37" s="255"/>
      <c r="J37" s="256"/>
    </row>
    <row r="38" spans="1:15" x14ac:dyDescent="0.3">
      <c r="A38" s="254"/>
      <c r="B38" s="255"/>
      <c r="C38" s="255"/>
      <c r="D38" s="257"/>
      <c r="E38" s="255"/>
      <c r="F38" s="255"/>
      <c r="G38" s="255"/>
      <c r="H38" s="255"/>
      <c r="I38" s="255"/>
      <c r="J38" s="256"/>
    </row>
    <row r="39" spans="1:15" x14ac:dyDescent="0.3">
      <c r="A39" s="254"/>
      <c r="B39" s="255"/>
      <c r="C39" s="255"/>
      <c r="D39" s="255"/>
      <c r="E39" s="255"/>
      <c r="F39" s="255"/>
      <c r="G39" s="255"/>
      <c r="H39" s="255"/>
      <c r="I39" s="255"/>
      <c r="J39" s="256"/>
    </row>
    <row r="40" spans="1:15" s="262" customFormat="1" ht="21.75" customHeight="1" thickBot="1" x14ac:dyDescent="0.35">
      <c r="A40" s="326" t="s">
        <v>318</v>
      </c>
      <c r="B40" s="327"/>
      <c r="C40" s="327"/>
      <c r="D40" s="327"/>
      <c r="E40" s="327"/>
      <c r="F40" s="327"/>
      <c r="G40" s="259"/>
      <c r="H40" s="259"/>
      <c r="I40" s="259"/>
      <c r="J40" s="260"/>
      <c r="K40" s="271">
        <f>SUM(I34:I39)</f>
        <v>108.83520000000001</v>
      </c>
      <c r="L40" s="249" t="s">
        <v>60</v>
      </c>
    </row>
    <row r="41" spans="1:15" ht="15" thickBot="1" x14ac:dyDescent="0.35"/>
    <row r="42" spans="1:15" x14ac:dyDescent="0.3">
      <c r="A42" s="328" t="s">
        <v>359</v>
      </c>
      <c r="B42" s="329"/>
      <c r="C42" s="329"/>
      <c r="D42" s="329"/>
      <c r="E42" s="329"/>
      <c r="F42" s="329"/>
      <c r="G42" s="251"/>
      <c r="H42" s="251"/>
      <c r="I42" s="252"/>
      <c r="J42" s="253"/>
    </row>
    <row r="43" spans="1:15" x14ac:dyDescent="0.3">
      <c r="A43" s="254"/>
      <c r="B43" s="255"/>
      <c r="C43" s="255"/>
      <c r="D43" s="255"/>
      <c r="E43" s="255"/>
      <c r="F43" s="255"/>
      <c r="G43" s="255"/>
      <c r="H43" s="255"/>
      <c r="I43" s="255"/>
      <c r="J43" s="256"/>
    </row>
    <row r="44" spans="1:15" x14ac:dyDescent="0.3">
      <c r="A44" s="254" t="s">
        <v>298</v>
      </c>
      <c r="B44" s="324" t="s">
        <v>299</v>
      </c>
      <c r="C44" s="324"/>
      <c r="D44" s="257" t="s">
        <v>300</v>
      </c>
      <c r="E44" s="324" t="s">
        <v>301</v>
      </c>
      <c r="F44" s="324"/>
      <c r="G44" s="324" t="s">
        <v>302</v>
      </c>
      <c r="H44" s="324"/>
      <c r="I44" s="324" t="s">
        <v>303</v>
      </c>
      <c r="J44" s="325"/>
    </row>
    <row r="45" spans="1:15" x14ac:dyDescent="0.3">
      <c r="A45" s="269" t="s">
        <v>360</v>
      </c>
      <c r="B45" s="266">
        <f>51*2</f>
        <v>102</v>
      </c>
      <c r="C45" s="266" t="s">
        <v>308</v>
      </c>
      <c r="D45" s="270">
        <v>1</v>
      </c>
      <c r="E45" s="266">
        <f>D45*B45</f>
        <v>102</v>
      </c>
      <c r="F45" s="266" t="s">
        <v>308</v>
      </c>
      <c r="G45" s="266">
        <v>7.72</v>
      </c>
      <c r="H45" s="266" t="s">
        <v>309</v>
      </c>
      <c r="I45" s="266">
        <f>G45*E45</f>
        <v>787.43999999999994</v>
      </c>
      <c r="J45" s="267" t="s">
        <v>60</v>
      </c>
    </row>
    <row r="46" spans="1:15" x14ac:dyDescent="0.3">
      <c r="A46" s="269" t="s">
        <v>361</v>
      </c>
      <c r="B46" s="266">
        <v>14</v>
      </c>
      <c r="C46" s="266" t="s">
        <v>308</v>
      </c>
      <c r="D46" s="270">
        <v>1</v>
      </c>
      <c r="E46" s="266">
        <f>D46*B46</f>
        <v>14</v>
      </c>
      <c r="F46" s="266" t="s">
        <v>308</v>
      </c>
      <c r="G46" s="266">
        <v>26.2</v>
      </c>
      <c r="H46" s="266" t="s">
        <v>309</v>
      </c>
      <c r="I46" s="266">
        <f>G46*E46</f>
        <v>366.8</v>
      </c>
      <c r="J46" s="267" t="s">
        <v>60</v>
      </c>
    </row>
    <row r="47" spans="1:15" x14ac:dyDescent="0.3">
      <c r="A47" s="269" t="s">
        <v>362</v>
      </c>
      <c r="B47" s="266">
        <v>0</v>
      </c>
      <c r="C47" s="266" t="s">
        <v>308</v>
      </c>
      <c r="D47" s="270">
        <v>1</v>
      </c>
      <c r="E47" s="266">
        <f>D47*B47</f>
        <v>0</v>
      </c>
      <c r="F47" s="266" t="s">
        <v>308</v>
      </c>
      <c r="G47" s="266">
        <v>4.51</v>
      </c>
      <c r="H47" s="266" t="s">
        <v>309</v>
      </c>
      <c r="I47" s="266">
        <f>G47*E47</f>
        <v>0</v>
      </c>
      <c r="J47" s="267" t="s">
        <v>60</v>
      </c>
      <c r="N47" s="8">
        <f>12*12</f>
        <v>144</v>
      </c>
      <c r="O47" s="8">
        <f>N47/2</f>
        <v>72</v>
      </c>
    </row>
    <row r="48" spans="1:15" x14ac:dyDescent="0.3">
      <c r="A48" s="269" t="s">
        <v>363</v>
      </c>
      <c r="B48" s="266">
        <f>B47/0.5*0.1</f>
        <v>0</v>
      </c>
      <c r="C48" s="266" t="s">
        <v>308</v>
      </c>
      <c r="D48" s="270">
        <v>1</v>
      </c>
      <c r="E48" s="266">
        <f>D48*B48</f>
        <v>0</v>
      </c>
      <c r="F48" s="266" t="s">
        <v>308</v>
      </c>
      <c r="G48" s="266">
        <v>0.48</v>
      </c>
      <c r="H48" s="266" t="s">
        <v>309</v>
      </c>
      <c r="I48" s="266">
        <f>G48*E48</f>
        <v>0</v>
      </c>
      <c r="J48" s="267" t="s">
        <v>60</v>
      </c>
      <c r="O48" s="8">
        <f>8000*O47</f>
        <v>576000</v>
      </c>
    </row>
    <row r="49" spans="1:12" x14ac:dyDescent="0.3">
      <c r="A49" s="269" t="s">
        <v>364</v>
      </c>
      <c r="B49" s="266">
        <f>(20*0.8*3)+31*0.15*2</f>
        <v>57.3</v>
      </c>
      <c r="C49" s="266" t="s">
        <v>308</v>
      </c>
      <c r="D49" s="270">
        <v>1</v>
      </c>
      <c r="E49" s="266">
        <f>D49*B49</f>
        <v>57.3</v>
      </c>
      <c r="F49" s="266" t="s">
        <v>308</v>
      </c>
      <c r="G49" s="266">
        <v>3.6</v>
      </c>
      <c r="H49" s="266" t="s">
        <v>309</v>
      </c>
      <c r="I49" s="266">
        <f>G49*E49</f>
        <v>206.28</v>
      </c>
      <c r="J49" s="267" t="s">
        <v>60</v>
      </c>
    </row>
    <row r="50" spans="1:12" x14ac:dyDescent="0.3">
      <c r="A50" s="254"/>
      <c r="B50" s="255"/>
      <c r="C50" s="255"/>
      <c r="D50" s="255"/>
      <c r="E50" s="255"/>
      <c r="F50" s="255"/>
      <c r="G50" s="255"/>
      <c r="H50" s="255"/>
      <c r="I50" s="255"/>
      <c r="J50" s="256"/>
    </row>
    <row r="51" spans="1:12" s="262" customFormat="1" ht="21.75" customHeight="1" thickBot="1" x14ac:dyDescent="0.35">
      <c r="A51" s="326" t="s">
        <v>321</v>
      </c>
      <c r="B51" s="327"/>
      <c r="C51" s="327"/>
      <c r="D51" s="327"/>
      <c r="E51" s="327"/>
      <c r="F51" s="327"/>
      <c r="G51" s="259"/>
      <c r="H51" s="259"/>
      <c r="I51" s="259"/>
      <c r="J51" s="260"/>
      <c r="K51" s="271">
        <f>SUM(I45:I50)</f>
        <v>1360.52</v>
      </c>
      <c r="L51" s="249" t="s">
        <v>60</v>
      </c>
    </row>
    <row r="52" spans="1:12" ht="15" thickBot="1" x14ac:dyDescent="0.35"/>
    <row r="53" spans="1:12" x14ac:dyDescent="0.3">
      <c r="A53" s="328" t="s">
        <v>322</v>
      </c>
      <c r="B53" s="329"/>
      <c r="C53" s="329"/>
      <c r="D53" s="329"/>
      <c r="E53" s="329"/>
      <c r="F53" s="329"/>
      <c r="G53" s="251"/>
      <c r="H53" s="251"/>
      <c r="I53" s="252"/>
      <c r="J53" s="253"/>
    </row>
    <row r="54" spans="1:12" x14ac:dyDescent="0.3">
      <c r="A54" s="254"/>
      <c r="B54" s="255"/>
      <c r="C54" s="255"/>
      <c r="D54" s="255"/>
      <c r="E54" s="255"/>
      <c r="F54" s="255"/>
      <c r="G54" s="255"/>
      <c r="H54" s="255"/>
      <c r="I54" s="255"/>
      <c r="J54" s="256"/>
    </row>
    <row r="55" spans="1:12" x14ac:dyDescent="0.3">
      <c r="A55" s="254" t="s">
        <v>298</v>
      </c>
      <c r="B55" s="324" t="s">
        <v>299</v>
      </c>
      <c r="C55" s="324"/>
      <c r="D55" s="257" t="s">
        <v>300</v>
      </c>
      <c r="E55" s="324" t="s">
        <v>301</v>
      </c>
      <c r="F55" s="324"/>
      <c r="G55" s="324" t="s">
        <v>302</v>
      </c>
      <c r="H55" s="324"/>
      <c r="I55" s="324" t="s">
        <v>303</v>
      </c>
      <c r="J55" s="325"/>
    </row>
    <row r="56" spans="1:12" x14ac:dyDescent="0.3">
      <c r="A56" s="254" t="s">
        <v>323</v>
      </c>
      <c r="B56" s="255">
        <v>308</v>
      </c>
      <c r="C56" s="255" t="s">
        <v>308</v>
      </c>
      <c r="D56" s="257">
        <v>1</v>
      </c>
      <c r="E56" s="255">
        <f>D56*B56</f>
        <v>308</v>
      </c>
      <c r="F56" s="255" t="s">
        <v>308</v>
      </c>
      <c r="G56" s="255">
        <f>4.51</f>
        <v>4.51</v>
      </c>
      <c r="H56" s="255" t="s">
        <v>309</v>
      </c>
      <c r="I56" s="255">
        <f>G56*E56</f>
        <v>1389.08</v>
      </c>
      <c r="J56" s="256" t="s">
        <v>60</v>
      </c>
    </row>
    <row r="57" spans="1:12" x14ac:dyDescent="0.3">
      <c r="A57" s="254" t="s">
        <v>324</v>
      </c>
      <c r="B57" s="255">
        <v>2.97</v>
      </c>
      <c r="C57" s="255" t="s">
        <v>24</v>
      </c>
      <c r="D57" s="257">
        <v>1</v>
      </c>
      <c r="E57" s="255">
        <f>D57*B57</f>
        <v>2.97</v>
      </c>
      <c r="F57" s="255" t="s">
        <v>308</v>
      </c>
      <c r="G57" s="255">
        <v>15.58</v>
      </c>
      <c r="H57" s="255" t="s">
        <v>309</v>
      </c>
      <c r="I57" s="263">
        <f>G57*E57</f>
        <v>46.272600000000004</v>
      </c>
      <c r="J57" s="256" t="s">
        <v>60</v>
      </c>
    </row>
    <row r="58" spans="1:12" x14ac:dyDescent="0.3">
      <c r="A58" s="254" t="s">
        <v>325</v>
      </c>
      <c r="B58" s="255">
        <v>1.7999999999999999E-2</v>
      </c>
      <c r="C58" s="255" t="s">
        <v>24</v>
      </c>
      <c r="D58" s="257">
        <v>123</v>
      </c>
      <c r="E58" s="255">
        <f>D58*B58</f>
        <v>2.214</v>
      </c>
      <c r="F58" s="255" t="s">
        <v>308</v>
      </c>
      <c r="G58" s="255">
        <v>25.12</v>
      </c>
      <c r="H58" s="255" t="s">
        <v>305</v>
      </c>
      <c r="I58" s="263">
        <f>G58*E58</f>
        <v>55.615680000000005</v>
      </c>
      <c r="J58" s="256" t="s">
        <v>60</v>
      </c>
    </row>
    <row r="59" spans="1:12" x14ac:dyDescent="0.3">
      <c r="A59" s="254"/>
      <c r="B59" s="255"/>
      <c r="C59" s="255"/>
      <c r="D59" s="255"/>
      <c r="E59" s="255"/>
      <c r="F59" s="255"/>
      <c r="G59" s="255"/>
      <c r="H59" s="255"/>
      <c r="I59" s="255"/>
      <c r="J59" s="256"/>
    </row>
    <row r="60" spans="1:12" s="262" customFormat="1" ht="21.75" customHeight="1" thickBot="1" x14ac:dyDescent="0.35">
      <c r="A60" s="326" t="s">
        <v>326</v>
      </c>
      <c r="B60" s="327"/>
      <c r="C60" s="327"/>
      <c r="D60" s="327"/>
      <c r="E60" s="327"/>
      <c r="F60" s="327"/>
      <c r="G60" s="259"/>
      <c r="H60" s="259"/>
      <c r="I60" s="259"/>
      <c r="J60" s="260"/>
      <c r="K60" s="248"/>
      <c r="L60" s="249" t="s">
        <v>60</v>
      </c>
    </row>
    <row r="63" spans="1:12" ht="18.600000000000001" thickBot="1" x14ac:dyDescent="0.35">
      <c r="A63" s="264" t="s">
        <v>327</v>
      </c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</row>
    <row r="64" spans="1:12" x14ac:dyDescent="0.3">
      <c r="A64" s="328" t="s">
        <v>328</v>
      </c>
      <c r="B64" s="329"/>
      <c r="C64" s="329"/>
      <c r="D64" s="329"/>
      <c r="E64" s="329"/>
      <c r="F64" s="329"/>
      <c r="G64" s="251"/>
      <c r="H64" s="251"/>
      <c r="I64" s="252"/>
      <c r="J64" s="253"/>
    </row>
    <row r="65" spans="1:13" x14ac:dyDescent="0.3">
      <c r="A65" s="254"/>
      <c r="B65" s="255"/>
      <c r="C65" s="255"/>
      <c r="D65" s="255"/>
      <c r="E65" s="255"/>
      <c r="F65" s="255"/>
      <c r="G65" s="255"/>
      <c r="H65" s="255"/>
      <c r="I65" s="255"/>
      <c r="J65" s="256"/>
    </row>
    <row r="66" spans="1:13" x14ac:dyDescent="0.3">
      <c r="A66" s="254" t="s">
        <v>298</v>
      </c>
      <c r="B66" s="324" t="s">
        <v>299</v>
      </c>
      <c r="C66" s="324"/>
      <c r="D66" s="257" t="s">
        <v>300</v>
      </c>
      <c r="E66" s="324" t="s">
        <v>301</v>
      </c>
      <c r="F66" s="324"/>
      <c r="G66" s="324" t="s">
        <v>302</v>
      </c>
      <c r="H66" s="324"/>
      <c r="I66" s="324" t="s">
        <v>303</v>
      </c>
      <c r="J66" s="325"/>
    </row>
    <row r="67" spans="1:13" x14ac:dyDescent="0.3">
      <c r="A67" s="254" t="s">
        <v>329</v>
      </c>
      <c r="B67" s="255"/>
      <c r="C67" s="255"/>
      <c r="D67" s="257"/>
      <c r="E67" s="255">
        <v>9</v>
      </c>
      <c r="F67" s="255" t="s">
        <v>308</v>
      </c>
      <c r="G67" s="255">
        <v>4.29</v>
      </c>
      <c r="H67" s="255" t="s">
        <v>309</v>
      </c>
      <c r="I67" s="266">
        <f t="shared" ref="I67:I81" si="0">G67*E67</f>
        <v>38.61</v>
      </c>
      <c r="J67" s="267" t="s">
        <v>60</v>
      </c>
    </row>
    <row r="68" spans="1:13" x14ac:dyDescent="0.3">
      <c r="A68" s="254" t="s">
        <v>320</v>
      </c>
      <c r="B68" s="255">
        <v>2.2499999999999999E-2</v>
      </c>
      <c r="C68" s="255" t="s">
        <v>24</v>
      </c>
      <c r="D68" s="257">
        <v>12</v>
      </c>
      <c r="E68" s="255">
        <f>D68*B68</f>
        <v>0.27</v>
      </c>
      <c r="F68" s="255" t="s">
        <v>24</v>
      </c>
      <c r="G68" s="255">
        <v>25.12</v>
      </c>
      <c r="H68" s="255" t="s">
        <v>305</v>
      </c>
      <c r="I68" s="266">
        <f t="shared" si="0"/>
        <v>6.7824000000000009</v>
      </c>
      <c r="J68" s="267" t="s">
        <v>60</v>
      </c>
    </row>
    <row r="69" spans="1:13" x14ac:dyDescent="0.3">
      <c r="A69" s="254" t="s">
        <v>330</v>
      </c>
      <c r="B69" s="255"/>
      <c r="C69" s="255"/>
      <c r="D69" s="257"/>
      <c r="E69" s="255">
        <v>12</v>
      </c>
      <c r="F69" s="255" t="s">
        <v>308</v>
      </c>
      <c r="G69" s="255">
        <v>4.29</v>
      </c>
      <c r="H69" s="255" t="s">
        <v>309</v>
      </c>
      <c r="I69" s="266">
        <f t="shared" si="0"/>
        <v>51.480000000000004</v>
      </c>
      <c r="J69" s="267" t="s">
        <v>60</v>
      </c>
    </row>
    <row r="70" spans="1:13" x14ac:dyDescent="0.3">
      <c r="A70" s="254" t="s">
        <v>320</v>
      </c>
      <c r="B70" s="255">
        <v>2.2499999999999999E-2</v>
      </c>
      <c r="C70" s="255" t="s">
        <v>24</v>
      </c>
      <c r="D70" s="257">
        <v>12</v>
      </c>
      <c r="E70" s="255">
        <f>D70*B70</f>
        <v>0.27</v>
      </c>
      <c r="F70" s="255" t="s">
        <v>24</v>
      </c>
      <c r="G70" s="255">
        <v>25.12</v>
      </c>
      <c r="H70" s="255" t="s">
        <v>305</v>
      </c>
      <c r="I70" s="266">
        <f t="shared" si="0"/>
        <v>6.7824000000000009</v>
      </c>
      <c r="J70" s="267" t="s">
        <v>60</v>
      </c>
    </row>
    <row r="71" spans="1:13" x14ac:dyDescent="0.3">
      <c r="A71" s="254" t="s">
        <v>331</v>
      </c>
      <c r="B71" s="255"/>
      <c r="C71" s="255"/>
      <c r="D71" s="257"/>
      <c r="E71" s="255">
        <v>18</v>
      </c>
      <c r="F71" s="255" t="s">
        <v>308</v>
      </c>
      <c r="G71" s="255">
        <v>4.29</v>
      </c>
      <c r="H71" s="255" t="s">
        <v>309</v>
      </c>
      <c r="I71" s="266">
        <f t="shared" si="0"/>
        <v>77.22</v>
      </c>
      <c r="J71" s="267" t="s">
        <v>60</v>
      </c>
    </row>
    <row r="72" spans="1:13" x14ac:dyDescent="0.3">
      <c r="A72" s="254" t="s">
        <v>320</v>
      </c>
      <c r="B72" s="255">
        <v>2.2499999999999999E-2</v>
      </c>
      <c r="C72" s="255" t="s">
        <v>24</v>
      </c>
      <c r="D72" s="257">
        <v>12</v>
      </c>
      <c r="E72" s="255">
        <f t="shared" ref="E72:E78" si="1">D72*B72</f>
        <v>0.27</v>
      </c>
      <c r="F72" s="255" t="s">
        <v>24</v>
      </c>
      <c r="G72" s="255">
        <v>25.12</v>
      </c>
      <c r="H72" s="255" t="s">
        <v>305</v>
      </c>
      <c r="I72" s="266">
        <f t="shared" si="0"/>
        <v>6.7824000000000009</v>
      </c>
      <c r="J72" s="267" t="s">
        <v>60</v>
      </c>
      <c r="M72" s="8">
        <f>1.2*0.3</f>
        <v>0.36</v>
      </c>
    </row>
    <row r="73" spans="1:13" x14ac:dyDescent="0.3">
      <c r="A73" s="254" t="s">
        <v>332</v>
      </c>
      <c r="B73" s="255">
        <v>6.6</v>
      </c>
      <c r="C73" s="255" t="s">
        <v>308</v>
      </c>
      <c r="D73" s="257">
        <v>6</v>
      </c>
      <c r="E73" s="255">
        <f t="shared" si="1"/>
        <v>39.599999999999994</v>
      </c>
      <c r="F73" s="255" t="s">
        <v>308</v>
      </c>
      <c r="G73" s="255">
        <v>14.3</v>
      </c>
      <c r="H73" s="255" t="s">
        <v>309</v>
      </c>
      <c r="I73" s="266">
        <f t="shared" si="0"/>
        <v>566.28</v>
      </c>
      <c r="J73" s="267" t="s">
        <v>60</v>
      </c>
    </row>
    <row r="74" spans="1:13" x14ac:dyDescent="0.3">
      <c r="A74" s="254" t="s">
        <v>333</v>
      </c>
      <c r="B74" s="255">
        <v>6</v>
      </c>
      <c r="C74" s="255" t="s">
        <v>308</v>
      </c>
      <c r="D74" s="257">
        <v>1</v>
      </c>
      <c r="E74" s="255">
        <f t="shared" si="1"/>
        <v>6</v>
      </c>
      <c r="F74" s="255" t="s">
        <v>308</v>
      </c>
      <c r="G74" s="255">
        <v>14.3</v>
      </c>
      <c r="H74" s="255" t="s">
        <v>309</v>
      </c>
      <c r="I74" s="266">
        <f t="shared" si="0"/>
        <v>85.800000000000011</v>
      </c>
      <c r="J74" s="267" t="s">
        <v>60</v>
      </c>
    </row>
    <row r="75" spans="1:13" x14ac:dyDescent="0.3">
      <c r="A75" s="254" t="s">
        <v>334</v>
      </c>
      <c r="B75" s="255">
        <f>6.1+4.7+2.6+2.6+1.3+4.1</f>
        <v>21.4</v>
      </c>
      <c r="C75" s="255" t="s">
        <v>308</v>
      </c>
      <c r="D75" s="257">
        <v>1</v>
      </c>
      <c r="E75" s="255">
        <f t="shared" si="1"/>
        <v>21.4</v>
      </c>
      <c r="F75" s="255" t="s">
        <v>308</v>
      </c>
      <c r="G75" s="255">
        <v>8.3000000000000007</v>
      </c>
      <c r="H75" s="255" t="s">
        <v>309</v>
      </c>
      <c r="I75" s="266">
        <f t="shared" si="0"/>
        <v>177.62</v>
      </c>
      <c r="J75" s="267" t="s">
        <v>60</v>
      </c>
    </row>
    <row r="76" spans="1:13" x14ac:dyDescent="0.3">
      <c r="A76" s="254" t="s">
        <v>335</v>
      </c>
      <c r="B76" s="255">
        <f>2.4*4</f>
        <v>9.6</v>
      </c>
      <c r="C76" s="255" t="s">
        <v>308</v>
      </c>
      <c r="D76" s="257">
        <v>1</v>
      </c>
      <c r="E76" s="255">
        <f t="shared" si="1"/>
        <v>9.6</v>
      </c>
      <c r="F76" s="255" t="s">
        <v>308</v>
      </c>
      <c r="G76" s="255">
        <v>8.3000000000000007</v>
      </c>
      <c r="H76" s="255" t="s">
        <v>309</v>
      </c>
      <c r="I76" s="266">
        <f t="shared" si="0"/>
        <v>79.680000000000007</v>
      </c>
      <c r="J76" s="267" t="s">
        <v>60</v>
      </c>
    </row>
    <row r="77" spans="1:13" x14ac:dyDescent="0.3">
      <c r="A77" s="254" t="s">
        <v>336</v>
      </c>
      <c r="B77" s="255">
        <v>0.36</v>
      </c>
      <c r="C77" s="255" t="s">
        <v>24</v>
      </c>
      <c r="D77" s="257">
        <v>14</v>
      </c>
      <c r="E77" s="255">
        <f t="shared" si="1"/>
        <v>5.04</v>
      </c>
      <c r="F77" s="255" t="s">
        <v>24</v>
      </c>
      <c r="G77" s="255">
        <v>10.8</v>
      </c>
      <c r="H77" s="255" t="s">
        <v>305</v>
      </c>
      <c r="I77" s="266">
        <f t="shared" si="0"/>
        <v>54.432000000000002</v>
      </c>
      <c r="J77" s="267" t="s">
        <v>60</v>
      </c>
      <c r="M77" s="8">
        <f>1.2*0.3</f>
        <v>0.36</v>
      </c>
    </row>
    <row r="78" spans="1:13" x14ac:dyDescent="0.3">
      <c r="A78" s="254" t="s">
        <v>337</v>
      </c>
      <c r="B78" s="255">
        <v>0.6</v>
      </c>
      <c r="C78" s="255" t="s">
        <v>308</v>
      </c>
      <c r="D78" s="257">
        <v>14</v>
      </c>
      <c r="E78" s="255">
        <f t="shared" si="1"/>
        <v>8.4</v>
      </c>
      <c r="F78" s="255" t="s">
        <v>308</v>
      </c>
      <c r="G78" s="255">
        <v>1.1000000000000001</v>
      </c>
      <c r="H78" s="255" t="s">
        <v>309</v>
      </c>
      <c r="I78" s="266">
        <f t="shared" si="0"/>
        <v>9.240000000000002</v>
      </c>
      <c r="J78" s="267" t="s">
        <v>60</v>
      </c>
    </row>
    <row r="79" spans="1:13" x14ac:dyDescent="0.3">
      <c r="A79" s="254" t="s">
        <v>338</v>
      </c>
      <c r="B79" s="255">
        <v>3</v>
      </c>
      <c r="C79" s="255" t="s">
        <v>308</v>
      </c>
      <c r="D79" s="257">
        <v>14</v>
      </c>
      <c r="E79" s="255">
        <f>B79*D79</f>
        <v>42</v>
      </c>
      <c r="F79" s="255" t="s">
        <v>308</v>
      </c>
      <c r="G79" s="255">
        <v>2.2000000000000002</v>
      </c>
      <c r="H79" s="255" t="s">
        <v>309</v>
      </c>
      <c r="I79" s="266">
        <f t="shared" si="0"/>
        <v>92.4</v>
      </c>
      <c r="J79" s="267" t="s">
        <v>60</v>
      </c>
    </row>
    <row r="80" spans="1:13" x14ac:dyDescent="0.3">
      <c r="A80" s="254" t="s">
        <v>339</v>
      </c>
      <c r="B80" s="255">
        <v>2.9</v>
      </c>
      <c r="C80" s="255" t="s">
        <v>24</v>
      </c>
      <c r="D80" s="257">
        <v>1</v>
      </c>
      <c r="E80" s="255">
        <f>D80*B80</f>
        <v>2.9</v>
      </c>
      <c r="F80" s="255" t="s">
        <v>24</v>
      </c>
      <c r="G80" s="255">
        <v>10.8</v>
      </c>
      <c r="H80" s="255" t="s">
        <v>305</v>
      </c>
      <c r="I80" s="266">
        <f t="shared" si="0"/>
        <v>31.32</v>
      </c>
      <c r="J80" s="267" t="s">
        <v>60</v>
      </c>
      <c r="M80" s="8">
        <f>1.2*0.3</f>
        <v>0.36</v>
      </c>
    </row>
    <row r="81" spans="1:17" x14ac:dyDescent="0.3">
      <c r="A81" s="254" t="s">
        <v>340</v>
      </c>
      <c r="B81" s="255">
        <v>4.8</v>
      </c>
      <c r="C81" s="255" t="s">
        <v>308</v>
      </c>
      <c r="D81" s="257">
        <v>1</v>
      </c>
      <c r="E81" s="255">
        <f>B81*D81</f>
        <v>4.8</v>
      </c>
      <c r="F81" s="255" t="s">
        <v>308</v>
      </c>
      <c r="G81" s="255">
        <v>2.2000000000000002</v>
      </c>
      <c r="H81" s="255" t="s">
        <v>309</v>
      </c>
      <c r="I81" s="266">
        <f t="shared" si="0"/>
        <v>10.56</v>
      </c>
      <c r="J81" s="267" t="s">
        <v>60</v>
      </c>
      <c r="O81" s="8">
        <v>1100</v>
      </c>
      <c r="P81" s="8">
        <v>1.3</v>
      </c>
      <c r="Q81" s="8">
        <f>P81*O81*201</f>
        <v>287430</v>
      </c>
    </row>
    <row r="82" spans="1:17" x14ac:dyDescent="0.3">
      <c r="A82" s="254"/>
      <c r="B82" s="255"/>
      <c r="C82" s="255"/>
      <c r="D82" s="255"/>
      <c r="E82" s="255"/>
      <c r="F82" s="255"/>
      <c r="G82" s="255"/>
      <c r="H82" s="255"/>
      <c r="I82" s="255"/>
      <c r="J82" s="256"/>
      <c r="O82" s="8">
        <v>1.95</v>
      </c>
    </row>
    <row r="83" spans="1:17" s="262" customFormat="1" ht="21.75" customHeight="1" thickBot="1" x14ac:dyDescent="0.35">
      <c r="A83" s="326" t="s">
        <v>341</v>
      </c>
      <c r="B83" s="327"/>
      <c r="C83" s="327"/>
      <c r="D83" s="327"/>
      <c r="E83" s="327"/>
      <c r="F83" s="327"/>
      <c r="G83" s="259"/>
      <c r="H83" s="259"/>
      <c r="I83" s="259"/>
      <c r="J83" s="260"/>
      <c r="K83" s="248"/>
      <c r="L83" s="249" t="s">
        <v>60</v>
      </c>
      <c r="O83" s="262">
        <f>O82*O81</f>
        <v>2145</v>
      </c>
      <c r="P83" s="262">
        <f>O83*201</f>
        <v>431145</v>
      </c>
      <c r="Q83" s="262">
        <f>P83+Q81</f>
        <v>718575</v>
      </c>
    </row>
    <row r="84" spans="1:17" ht="15" thickBot="1" x14ac:dyDescent="0.35"/>
    <row r="85" spans="1:17" x14ac:dyDescent="0.3">
      <c r="A85" s="328" t="s">
        <v>342</v>
      </c>
      <c r="B85" s="329"/>
      <c r="C85" s="329"/>
      <c r="D85" s="329"/>
      <c r="E85" s="329"/>
      <c r="F85" s="329"/>
      <c r="G85" s="251"/>
      <c r="H85" s="251"/>
      <c r="I85" s="252"/>
      <c r="J85" s="253"/>
    </row>
    <row r="86" spans="1:17" x14ac:dyDescent="0.3">
      <c r="A86" s="254"/>
      <c r="B86" s="255"/>
      <c r="C86" s="255"/>
      <c r="D86" s="255"/>
      <c r="E86" s="255"/>
      <c r="F86" s="255"/>
      <c r="G86" s="255"/>
      <c r="H86" s="255"/>
      <c r="I86" s="255"/>
      <c r="J86" s="256"/>
    </row>
    <row r="87" spans="1:17" x14ac:dyDescent="0.3">
      <c r="A87" s="254" t="s">
        <v>298</v>
      </c>
      <c r="B87" s="324" t="s">
        <v>299</v>
      </c>
      <c r="C87" s="324"/>
      <c r="D87" s="257" t="s">
        <v>300</v>
      </c>
      <c r="E87" s="324" t="s">
        <v>301</v>
      </c>
      <c r="F87" s="324"/>
      <c r="G87" s="324" t="s">
        <v>302</v>
      </c>
      <c r="H87" s="324"/>
      <c r="I87" s="324" t="s">
        <v>303</v>
      </c>
      <c r="J87" s="325"/>
    </row>
    <row r="88" spans="1:17" x14ac:dyDescent="0.3">
      <c r="A88" s="254" t="s">
        <v>343</v>
      </c>
      <c r="B88" s="255">
        <v>52</v>
      </c>
      <c r="C88" s="255" t="s">
        <v>308</v>
      </c>
      <c r="D88" s="257">
        <v>1</v>
      </c>
      <c r="E88" s="255">
        <f>D88*B88</f>
        <v>52</v>
      </c>
      <c r="F88" s="255" t="s">
        <v>308</v>
      </c>
      <c r="G88" s="255">
        <f>4.51</f>
        <v>4.51</v>
      </c>
      <c r="H88" s="255" t="s">
        <v>309</v>
      </c>
      <c r="I88" s="255">
        <f>G88*E88</f>
        <v>234.51999999999998</v>
      </c>
      <c r="J88" s="256" t="s">
        <v>60</v>
      </c>
      <c r="M88" s="8">
        <f>B88/0.7</f>
        <v>74.285714285714292</v>
      </c>
      <c r="N88" s="8">
        <f>M88*0.06*0.12</f>
        <v>0.53485714285714281</v>
      </c>
    </row>
    <row r="89" spans="1:17" x14ac:dyDescent="0.3">
      <c r="A89" s="254" t="s">
        <v>324</v>
      </c>
      <c r="B89" s="255">
        <v>0.54</v>
      </c>
      <c r="C89" s="255" t="s">
        <v>24</v>
      </c>
      <c r="D89" s="257">
        <v>1</v>
      </c>
      <c r="E89" s="255">
        <f>D89*B89</f>
        <v>0.54</v>
      </c>
      <c r="F89" s="255" t="s">
        <v>24</v>
      </c>
      <c r="G89" s="255">
        <v>15.58</v>
      </c>
      <c r="H89" s="255" t="s">
        <v>305</v>
      </c>
      <c r="I89" s="263">
        <f>G89*E89</f>
        <v>8.4131999999999998</v>
      </c>
      <c r="J89" s="256" t="s">
        <v>60</v>
      </c>
    </row>
    <row r="90" spans="1:17" x14ac:dyDescent="0.3">
      <c r="A90" s="254" t="s">
        <v>344</v>
      </c>
      <c r="B90" s="255">
        <v>0.01</v>
      </c>
      <c r="C90" s="255" t="s">
        <v>24</v>
      </c>
      <c r="D90" s="257">
        <v>123</v>
      </c>
      <c r="E90" s="255">
        <f>D90*B90</f>
        <v>1.23</v>
      </c>
      <c r="F90" s="255" t="s">
        <v>308</v>
      </c>
      <c r="G90" s="255">
        <v>25.12</v>
      </c>
      <c r="H90" s="255" t="s">
        <v>305</v>
      </c>
      <c r="I90" s="263">
        <f>G90*E90</f>
        <v>30.897600000000001</v>
      </c>
      <c r="J90" s="256" t="s">
        <v>60</v>
      </c>
    </row>
    <row r="91" spans="1:17" x14ac:dyDescent="0.3">
      <c r="A91" s="254"/>
      <c r="B91" s="255"/>
      <c r="C91" s="255"/>
      <c r="D91" s="255"/>
      <c r="E91" s="255"/>
      <c r="F91" s="255"/>
      <c r="G91" s="255"/>
      <c r="H91" s="255"/>
      <c r="I91" s="255"/>
      <c r="J91" s="256"/>
    </row>
    <row r="92" spans="1:17" s="262" customFormat="1" ht="21.75" customHeight="1" thickBot="1" x14ac:dyDescent="0.35">
      <c r="A92" s="326" t="s">
        <v>345</v>
      </c>
      <c r="B92" s="327"/>
      <c r="C92" s="327"/>
      <c r="D92" s="327"/>
      <c r="E92" s="327"/>
      <c r="F92" s="327"/>
      <c r="G92" s="259"/>
      <c r="H92" s="259"/>
      <c r="I92" s="259"/>
      <c r="J92" s="260"/>
      <c r="K92" s="248"/>
      <c r="L92" s="249" t="s">
        <v>60</v>
      </c>
    </row>
    <row r="93" spans="1:17" ht="15" thickBot="1" x14ac:dyDescent="0.35"/>
    <row r="94" spans="1:17" x14ac:dyDescent="0.3">
      <c r="A94" s="328" t="s">
        <v>346</v>
      </c>
      <c r="B94" s="329"/>
      <c r="C94" s="329"/>
      <c r="D94" s="329"/>
      <c r="E94" s="329"/>
      <c r="F94" s="329"/>
      <c r="G94" s="251"/>
      <c r="H94" s="251"/>
      <c r="I94" s="252"/>
      <c r="J94" s="253"/>
    </row>
    <row r="95" spans="1:17" x14ac:dyDescent="0.3">
      <c r="A95" s="254"/>
      <c r="B95" s="255"/>
      <c r="C95" s="255"/>
      <c r="D95" s="255"/>
      <c r="E95" s="255"/>
      <c r="F95" s="255"/>
      <c r="G95" s="255"/>
      <c r="H95" s="255"/>
      <c r="I95" s="255"/>
      <c r="J95" s="256"/>
    </row>
    <row r="96" spans="1:17" x14ac:dyDescent="0.3">
      <c r="A96" s="254" t="s">
        <v>298</v>
      </c>
      <c r="B96" s="324" t="s">
        <v>299</v>
      </c>
      <c r="C96" s="324"/>
      <c r="D96" s="257" t="s">
        <v>300</v>
      </c>
      <c r="E96" s="324" t="s">
        <v>301</v>
      </c>
      <c r="F96" s="324"/>
      <c r="G96" s="324" t="s">
        <v>302</v>
      </c>
      <c r="H96" s="324"/>
      <c r="I96" s="324" t="s">
        <v>303</v>
      </c>
      <c r="J96" s="325"/>
    </row>
    <row r="97" spans="1:12" x14ac:dyDescent="0.3">
      <c r="A97" s="254" t="s">
        <v>347</v>
      </c>
      <c r="B97" s="255">
        <f>0.12*0.1</f>
        <v>1.2E-2</v>
      </c>
      <c r="C97" s="255" t="s">
        <v>24</v>
      </c>
      <c r="D97" s="257">
        <v>32</v>
      </c>
      <c r="E97" s="255">
        <f>D97*B97</f>
        <v>0.38400000000000001</v>
      </c>
      <c r="F97" s="255" t="s">
        <v>24</v>
      </c>
      <c r="G97" s="255">
        <v>37.68</v>
      </c>
      <c r="H97" s="255" t="s">
        <v>305</v>
      </c>
      <c r="I97" s="255">
        <f>G97*E97</f>
        <v>14.46912</v>
      </c>
      <c r="J97" s="256" t="s">
        <v>60</v>
      </c>
    </row>
    <row r="98" spans="1:12" x14ac:dyDescent="0.3">
      <c r="A98" s="254" t="s">
        <v>348</v>
      </c>
      <c r="B98" s="255">
        <v>78.2</v>
      </c>
      <c r="C98" s="255" t="s">
        <v>308</v>
      </c>
      <c r="D98" s="257">
        <v>1</v>
      </c>
      <c r="E98" s="255">
        <f>B98*D98</f>
        <v>78.2</v>
      </c>
      <c r="F98" s="255" t="s">
        <v>308</v>
      </c>
      <c r="G98" s="255">
        <v>0.39500000000000002</v>
      </c>
      <c r="H98" s="255" t="s">
        <v>309</v>
      </c>
      <c r="I98" s="255">
        <f>G98*E98</f>
        <v>30.889000000000003</v>
      </c>
      <c r="J98" s="256" t="s">
        <v>60</v>
      </c>
    </row>
    <row r="99" spans="1:12" x14ac:dyDescent="0.3">
      <c r="A99" s="254"/>
      <c r="B99" s="255"/>
      <c r="C99" s="255"/>
      <c r="D99" s="255"/>
      <c r="E99" s="255"/>
      <c r="F99" s="255"/>
      <c r="G99" s="255"/>
      <c r="H99" s="255"/>
      <c r="I99" s="255"/>
      <c r="J99" s="256"/>
    </row>
    <row r="100" spans="1:12" s="262" customFormat="1" ht="21.75" customHeight="1" thickBot="1" x14ac:dyDescent="0.35">
      <c r="A100" s="326" t="s">
        <v>349</v>
      </c>
      <c r="B100" s="327"/>
      <c r="C100" s="327"/>
      <c r="D100" s="327"/>
      <c r="E100" s="327"/>
      <c r="F100" s="327"/>
      <c r="G100" s="259"/>
      <c r="H100" s="259"/>
      <c r="I100" s="259"/>
      <c r="J100" s="260"/>
      <c r="K100" s="261"/>
      <c r="L100" s="249" t="s">
        <v>60</v>
      </c>
    </row>
    <row r="101" spans="1:12" ht="15" thickBot="1" x14ac:dyDescent="0.35"/>
    <row r="102" spans="1:12" x14ac:dyDescent="0.3">
      <c r="A102" s="328" t="s">
        <v>350</v>
      </c>
      <c r="B102" s="329"/>
      <c r="C102" s="329"/>
      <c r="D102" s="329"/>
      <c r="E102" s="329"/>
      <c r="F102" s="329"/>
      <c r="G102" s="251"/>
      <c r="H102" s="251"/>
      <c r="I102" s="252"/>
      <c r="J102" s="253"/>
    </row>
    <row r="103" spans="1:12" x14ac:dyDescent="0.3">
      <c r="A103" s="254"/>
      <c r="B103" s="255"/>
      <c r="C103" s="255"/>
      <c r="D103" s="255"/>
      <c r="E103" s="255"/>
      <c r="F103" s="255"/>
      <c r="G103" s="255"/>
      <c r="H103" s="255"/>
      <c r="I103" s="255"/>
      <c r="J103" s="256"/>
    </row>
    <row r="104" spans="1:12" x14ac:dyDescent="0.3">
      <c r="A104" s="254" t="s">
        <v>298</v>
      </c>
      <c r="B104" s="324" t="s">
        <v>299</v>
      </c>
      <c r="C104" s="324"/>
      <c r="D104" s="257" t="s">
        <v>300</v>
      </c>
      <c r="E104" s="324" t="s">
        <v>301</v>
      </c>
      <c r="F104" s="324"/>
      <c r="G104" s="324" t="s">
        <v>302</v>
      </c>
      <c r="H104" s="324"/>
      <c r="I104" s="324" t="s">
        <v>303</v>
      </c>
      <c r="J104" s="325"/>
    </row>
    <row r="105" spans="1:12" x14ac:dyDescent="0.3">
      <c r="A105" s="254" t="s">
        <v>333</v>
      </c>
      <c r="B105" s="255">
        <v>9</v>
      </c>
      <c r="C105" s="255" t="s">
        <v>308</v>
      </c>
      <c r="D105" s="257">
        <v>1</v>
      </c>
      <c r="E105" s="255">
        <f>D105*B105</f>
        <v>9</v>
      </c>
      <c r="F105" s="255" t="s">
        <v>308</v>
      </c>
      <c r="G105" s="255">
        <v>14.3</v>
      </c>
      <c r="H105" s="255" t="s">
        <v>309</v>
      </c>
      <c r="I105" s="266">
        <f>G105*E105</f>
        <v>128.70000000000002</v>
      </c>
      <c r="J105" s="267" t="s">
        <v>60</v>
      </c>
    </row>
    <row r="106" spans="1:12" x14ac:dyDescent="0.3">
      <c r="A106" s="254" t="s">
        <v>351</v>
      </c>
      <c r="B106" s="255">
        <v>25.4</v>
      </c>
      <c r="C106" s="255" t="s">
        <v>308</v>
      </c>
      <c r="D106" s="257">
        <v>1</v>
      </c>
      <c r="E106" s="255">
        <f>D106*B106</f>
        <v>25.4</v>
      </c>
      <c r="F106" s="255" t="s">
        <v>308</v>
      </c>
      <c r="G106" s="255">
        <f>2*3.41</f>
        <v>6.82</v>
      </c>
      <c r="H106" s="255" t="s">
        <v>309</v>
      </c>
      <c r="I106" s="266">
        <f>G106*E106</f>
        <v>173.22800000000001</v>
      </c>
      <c r="J106" s="256" t="s">
        <v>60</v>
      </c>
    </row>
    <row r="107" spans="1:12" x14ac:dyDescent="0.3">
      <c r="A107" s="254" t="s">
        <v>352</v>
      </c>
      <c r="B107" s="255">
        <v>17.5</v>
      </c>
      <c r="C107" s="255" t="s">
        <v>308</v>
      </c>
      <c r="D107" s="257">
        <v>1</v>
      </c>
      <c r="E107" s="255">
        <f>D107*B107</f>
        <v>17.5</v>
      </c>
      <c r="F107" s="255" t="s">
        <v>308</v>
      </c>
      <c r="G107" s="255">
        <f>2*3.41</f>
        <v>6.82</v>
      </c>
      <c r="H107" s="255" t="s">
        <v>309</v>
      </c>
      <c r="I107" s="266">
        <f>G107*E107</f>
        <v>119.35000000000001</v>
      </c>
      <c r="J107" s="256" t="s">
        <v>60</v>
      </c>
    </row>
    <row r="108" spans="1:12" x14ac:dyDescent="0.3">
      <c r="A108" s="254" t="s">
        <v>324</v>
      </c>
      <c r="B108" s="255">
        <v>0.18</v>
      </c>
      <c r="C108" s="255" t="s">
        <v>24</v>
      </c>
      <c r="D108" s="257">
        <v>1</v>
      </c>
      <c r="E108" s="255">
        <f>D108*B108</f>
        <v>0.18</v>
      </c>
      <c r="F108" s="255" t="s">
        <v>24</v>
      </c>
      <c r="G108" s="255">
        <v>15.58</v>
      </c>
      <c r="H108" s="255" t="s">
        <v>305</v>
      </c>
      <c r="I108" s="268">
        <f>G108*E108</f>
        <v>2.8043999999999998</v>
      </c>
      <c r="J108" s="256" t="s">
        <v>60</v>
      </c>
    </row>
    <row r="109" spans="1:12" x14ac:dyDescent="0.3">
      <c r="A109" s="254" t="s">
        <v>353</v>
      </c>
      <c r="B109" s="255">
        <v>12.8</v>
      </c>
      <c r="C109" s="255" t="s">
        <v>308</v>
      </c>
      <c r="D109" s="257">
        <v>55</v>
      </c>
      <c r="E109" s="255">
        <f>D109*B109</f>
        <v>704</v>
      </c>
      <c r="F109" s="255" t="s">
        <v>308</v>
      </c>
      <c r="G109" s="255">
        <f>2*3.41</f>
        <v>6.82</v>
      </c>
      <c r="H109" s="255" t="s">
        <v>309</v>
      </c>
      <c r="I109" s="266">
        <f>G109*E109</f>
        <v>4801.2800000000007</v>
      </c>
      <c r="J109" s="256" t="s">
        <v>60</v>
      </c>
    </row>
    <row r="110" spans="1:12" x14ac:dyDescent="0.3">
      <c r="A110" s="254"/>
      <c r="B110" s="255"/>
      <c r="C110" s="255"/>
      <c r="D110" s="255"/>
      <c r="E110" s="255"/>
      <c r="F110" s="255"/>
      <c r="G110" s="255"/>
      <c r="H110" s="255"/>
      <c r="I110" s="255"/>
      <c r="J110" s="256"/>
    </row>
    <row r="111" spans="1:12" ht="16.2" thickBot="1" x14ac:dyDescent="0.35">
      <c r="A111" s="326" t="s">
        <v>354</v>
      </c>
      <c r="B111" s="327"/>
      <c r="C111" s="327"/>
      <c r="D111" s="327"/>
      <c r="E111" s="327"/>
      <c r="F111" s="327"/>
      <c r="G111" s="259"/>
      <c r="H111" s="259"/>
      <c r="I111" s="259"/>
      <c r="J111" s="260"/>
      <c r="K111" s="261"/>
      <c r="L111" s="249" t="s">
        <v>60</v>
      </c>
    </row>
    <row r="112" spans="1:12" ht="15" thickBot="1" x14ac:dyDescent="0.35"/>
    <row r="113" spans="1:12" x14ac:dyDescent="0.3">
      <c r="A113" s="328" t="s">
        <v>355</v>
      </c>
      <c r="B113" s="329"/>
      <c r="C113" s="329"/>
      <c r="D113" s="329"/>
      <c r="E113" s="329"/>
      <c r="F113" s="329"/>
      <c r="G113" s="251"/>
      <c r="H113" s="251"/>
      <c r="I113" s="252"/>
      <c r="J113" s="253"/>
    </row>
    <row r="114" spans="1:12" x14ac:dyDescent="0.3">
      <c r="A114" s="254"/>
      <c r="B114" s="255"/>
      <c r="C114" s="255"/>
      <c r="D114" s="255"/>
      <c r="E114" s="255"/>
      <c r="F114" s="255"/>
      <c r="G114" s="255"/>
      <c r="H114" s="255"/>
      <c r="I114" s="255"/>
      <c r="J114" s="256"/>
    </row>
    <row r="115" spans="1:12" x14ac:dyDescent="0.3">
      <c r="A115" s="254" t="s">
        <v>298</v>
      </c>
      <c r="B115" s="324" t="s">
        <v>299</v>
      </c>
      <c r="C115" s="324"/>
      <c r="D115" s="257" t="s">
        <v>300</v>
      </c>
      <c r="E115" s="324" t="s">
        <v>301</v>
      </c>
      <c r="F115" s="324"/>
      <c r="G115" s="324" t="s">
        <v>302</v>
      </c>
      <c r="H115" s="324"/>
      <c r="I115" s="324" t="s">
        <v>303</v>
      </c>
      <c r="J115" s="325"/>
    </row>
    <row r="116" spans="1:12" x14ac:dyDescent="0.3">
      <c r="A116" s="254" t="s">
        <v>356</v>
      </c>
      <c r="B116" s="255">
        <v>1.7999999999999999E-2</v>
      </c>
      <c r="C116" s="255" t="s">
        <v>24</v>
      </c>
      <c r="D116" s="257">
        <v>84</v>
      </c>
      <c r="E116" s="255">
        <f>D116*B116</f>
        <v>1.5119999999999998</v>
      </c>
      <c r="F116" s="255" t="s">
        <v>308</v>
      </c>
      <c r="G116" s="255">
        <v>25.12</v>
      </c>
      <c r="H116" s="255" t="s">
        <v>305</v>
      </c>
      <c r="I116" s="263">
        <f>G116*E116</f>
        <v>37.981439999999999</v>
      </c>
      <c r="J116" s="256" t="s">
        <v>60</v>
      </c>
    </row>
    <row r="117" spans="1:12" x14ac:dyDescent="0.3">
      <c r="A117" s="254"/>
      <c r="B117" s="255"/>
      <c r="C117" s="255"/>
      <c r="D117" s="255"/>
      <c r="E117" s="255"/>
      <c r="F117" s="255"/>
      <c r="G117" s="255"/>
      <c r="H117" s="255"/>
      <c r="I117" s="255"/>
      <c r="J117" s="256"/>
    </row>
    <row r="118" spans="1:12" ht="16.2" thickBot="1" x14ac:dyDescent="0.35">
      <c r="A118" s="326" t="s">
        <v>326</v>
      </c>
      <c r="B118" s="327"/>
      <c r="C118" s="327"/>
      <c r="D118" s="327"/>
      <c r="E118" s="327"/>
      <c r="F118" s="327"/>
      <c r="G118" s="259"/>
      <c r="H118" s="259"/>
      <c r="I118" s="259"/>
      <c r="J118" s="260"/>
      <c r="K118" s="248"/>
      <c r="L118" s="249" t="s">
        <v>60</v>
      </c>
    </row>
  </sheetData>
  <mergeCells count="66">
    <mergeCell ref="I6:J6"/>
    <mergeCell ref="A14:F14"/>
    <mergeCell ref="A23:F23"/>
    <mergeCell ref="A4:F4"/>
    <mergeCell ref="B6:C6"/>
    <mergeCell ref="E6:F6"/>
    <mergeCell ref="G6:H6"/>
    <mergeCell ref="A16:F16"/>
    <mergeCell ref="B18:C18"/>
    <mergeCell ref="E18:F18"/>
    <mergeCell ref="G18:H18"/>
    <mergeCell ref="I18:J18"/>
    <mergeCell ref="I34:J34"/>
    <mergeCell ref="A40:F40"/>
    <mergeCell ref="A25:F25"/>
    <mergeCell ref="B27:C27"/>
    <mergeCell ref="E27:F27"/>
    <mergeCell ref="G27:H27"/>
    <mergeCell ref="I27:J27"/>
    <mergeCell ref="A30:F30"/>
    <mergeCell ref="A32:F32"/>
    <mergeCell ref="B34:C34"/>
    <mergeCell ref="E34:F34"/>
    <mergeCell ref="G34:H34"/>
    <mergeCell ref="A42:F42"/>
    <mergeCell ref="I44:J44"/>
    <mergeCell ref="I66:J66"/>
    <mergeCell ref="A83:F83"/>
    <mergeCell ref="A53:F53"/>
    <mergeCell ref="B55:C55"/>
    <mergeCell ref="E55:F55"/>
    <mergeCell ref="G55:H55"/>
    <mergeCell ref="I55:J55"/>
    <mergeCell ref="A60:F60"/>
    <mergeCell ref="A51:F51"/>
    <mergeCell ref="B44:C44"/>
    <mergeCell ref="E44:F44"/>
    <mergeCell ref="G44:H44"/>
    <mergeCell ref="A64:F64"/>
    <mergeCell ref="B66:C66"/>
    <mergeCell ref="E66:F66"/>
    <mergeCell ref="G66:H66"/>
    <mergeCell ref="A85:F85"/>
    <mergeCell ref="I87:J87"/>
    <mergeCell ref="I104:J104"/>
    <mergeCell ref="I96:J96"/>
    <mergeCell ref="A92:F92"/>
    <mergeCell ref="B87:C87"/>
    <mergeCell ref="E87:F87"/>
    <mergeCell ref="G87:H87"/>
    <mergeCell ref="A94:F94"/>
    <mergeCell ref="B96:C96"/>
    <mergeCell ref="E96:F96"/>
    <mergeCell ref="G96:H96"/>
    <mergeCell ref="A100:F100"/>
    <mergeCell ref="I115:J115"/>
    <mergeCell ref="A118:F118"/>
    <mergeCell ref="A102:F102"/>
    <mergeCell ref="B104:C104"/>
    <mergeCell ref="E104:F104"/>
    <mergeCell ref="G104:H104"/>
    <mergeCell ref="A113:F113"/>
    <mergeCell ref="B115:C115"/>
    <mergeCell ref="E115:F115"/>
    <mergeCell ref="G115:H115"/>
    <mergeCell ref="A111:F1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BFDF-3610-41BB-957A-0E17F142DD82}">
  <dimension ref="A1:R429"/>
  <sheetViews>
    <sheetView topLeftCell="A408" zoomScale="120" zoomScaleNormal="120" workbookViewId="0">
      <selection activeCell="G418" sqref="G418"/>
    </sheetView>
  </sheetViews>
  <sheetFormatPr baseColWidth="10" defaultColWidth="11.44140625" defaultRowHeight="10.199999999999999" x14ac:dyDescent="0.3"/>
  <cols>
    <col min="1" max="1" width="5.5546875" style="56" customWidth="1"/>
    <col min="2" max="2" width="25.6640625" style="56" customWidth="1"/>
    <col min="3" max="3" width="42.33203125" style="56" customWidth="1"/>
    <col min="4" max="4" width="15.33203125" style="56" customWidth="1"/>
    <col min="5" max="6" width="11.88671875" style="57" customWidth="1"/>
    <col min="7" max="7" width="12.5546875" style="57" bestFit="1" customWidth="1"/>
    <col min="8" max="8" width="3.109375" style="56" customWidth="1"/>
    <col min="9" max="9" width="9.77734375" style="56" customWidth="1"/>
    <col min="10" max="10" width="11.44140625" style="56"/>
    <col min="11" max="11" width="16" style="315" customWidth="1"/>
    <col min="12" max="16384" width="11.44140625" style="56"/>
  </cols>
  <sheetData>
    <row r="1" spans="1:15" s="61" customFormat="1" ht="28.5" customHeight="1" thickBot="1" x14ac:dyDescent="0.35">
      <c r="E1" s="62"/>
      <c r="F1" s="62"/>
      <c r="G1" s="62"/>
      <c r="K1" s="313"/>
      <c r="L1" s="234"/>
      <c r="M1" s="234"/>
      <c r="O1" s="236" t="e">
        <f>M1/N1</f>
        <v>#DIV/0!</v>
      </c>
    </row>
    <row r="2" spans="1:15" s="61" customFormat="1" ht="16.5" customHeight="1" thickBot="1" x14ac:dyDescent="0.35">
      <c r="A2" s="69" t="s">
        <v>18</v>
      </c>
      <c r="B2" s="70" t="s">
        <v>55</v>
      </c>
      <c r="C2" s="70" t="s">
        <v>267</v>
      </c>
      <c r="D2" s="71" t="s">
        <v>135</v>
      </c>
      <c r="E2" s="72"/>
      <c r="F2" s="72"/>
      <c r="G2" s="73"/>
      <c r="K2" s="314"/>
    </row>
    <row r="3" spans="1:15" ht="12" customHeight="1" x14ac:dyDescent="0.3">
      <c r="A3" s="74"/>
      <c r="B3" s="128" t="s">
        <v>56</v>
      </c>
      <c r="C3" s="129" t="s">
        <v>101</v>
      </c>
      <c r="D3" s="130" t="s">
        <v>102</v>
      </c>
      <c r="E3" s="131">
        <v>0</v>
      </c>
      <c r="F3" s="132">
        <f>80000/9+5789</f>
        <v>14677.888888888889</v>
      </c>
      <c r="G3" s="133">
        <f>E3*F3</f>
        <v>0</v>
      </c>
    </row>
    <row r="4" spans="1:15" ht="12" customHeight="1" x14ac:dyDescent="0.3">
      <c r="A4" s="74"/>
      <c r="B4" s="81" t="s">
        <v>56</v>
      </c>
      <c r="C4" s="82" t="s">
        <v>103</v>
      </c>
      <c r="D4" s="83" t="s">
        <v>102</v>
      </c>
      <c r="E4" s="84">
        <v>0.8</v>
      </c>
      <c r="F4" s="85">
        <f>50000/9+5789</f>
        <v>11344.555555555555</v>
      </c>
      <c r="G4" s="86">
        <f>E4*F4</f>
        <v>9075.6444444444442</v>
      </c>
    </row>
    <row r="5" spans="1:15" ht="12" customHeight="1" x14ac:dyDescent="0.3">
      <c r="A5" s="74"/>
      <c r="B5" s="81" t="s">
        <v>56</v>
      </c>
      <c r="C5" s="82" t="s">
        <v>104</v>
      </c>
      <c r="D5" s="83" t="s">
        <v>102</v>
      </c>
      <c r="E5" s="84"/>
      <c r="F5" s="85">
        <f>45000/9+5789</f>
        <v>10789</v>
      </c>
      <c r="G5" s="86">
        <f>E5*F5</f>
        <v>0</v>
      </c>
    </row>
    <row r="6" spans="1:15" ht="12" customHeight="1" x14ac:dyDescent="0.3">
      <c r="A6" s="74"/>
      <c r="B6" s="81" t="s">
        <v>56</v>
      </c>
      <c r="C6" s="82" t="s">
        <v>57</v>
      </c>
      <c r="D6" s="83" t="s">
        <v>102</v>
      </c>
      <c r="E6" s="84">
        <v>0.7</v>
      </c>
      <c r="F6" s="85">
        <f>35000/9+5768</f>
        <v>9656.8888888888887</v>
      </c>
      <c r="G6" s="86">
        <f>E6*F6</f>
        <v>6759.8222222222221</v>
      </c>
    </row>
    <row r="7" spans="1:15" ht="12" customHeight="1" x14ac:dyDescent="0.3">
      <c r="A7" s="74"/>
      <c r="B7" s="81" t="s">
        <v>56</v>
      </c>
      <c r="C7" s="82" t="s">
        <v>105</v>
      </c>
      <c r="D7" s="83" t="s">
        <v>102</v>
      </c>
      <c r="E7" s="84"/>
      <c r="F7" s="85">
        <f>F6</f>
        <v>9656.8888888888887</v>
      </c>
      <c r="G7" s="86">
        <f>E7*F7</f>
        <v>0</v>
      </c>
    </row>
    <row r="8" spans="1:15" ht="12" customHeight="1" thickBot="1" x14ac:dyDescent="0.35">
      <c r="A8" s="74"/>
      <c r="B8" s="87" t="s">
        <v>106</v>
      </c>
      <c r="C8" s="88"/>
      <c r="D8" s="89"/>
      <c r="E8" s="90"/>
      <c r="F8" s="91"/>
      <c r="G8" s="92">
        <f>SUM(G3:G7)</f>
        <v>15835.466666666667</v>
      </c>
    </row>
    <row r="9" spans="1:15" ht="12" customHeight="1" x14ac:dyDescent="0.3">
      <c r="A9" s="74"/>
      <c r="B9" s="75" t="s">
        <v>58</v>
      </c>
      <c r="C9" s="52" t="s">
        <v>265</v>
      </c>
      <c r="D9" s="53" t="s">
        <v>60</v>
      </c>
      <c r="E9" s="54">
        <v>6.25</v>
      </c>
      <c r="F9" s="55">
        <v>600</v>
      </c>
      <c r="G9" s="80">
        <f t="shared" ref="G9:G19" si="0">E9*F9</f>
        <v>3750</v>
      </c>
    </row>
    <row r="10" spans="1:15" ht="12" customHeight="1" x14ac:dyDescent="0.3">
      <c r="A10" s="74"/>
      <c r="B10" s="81" t="s">
        <v>58</v>
      </c>
      <c r="C10" s="52" t="s">
        <v>266</v>
      </c>
      <c r="D10" s="53" t="s">
        <v>174</v>
      </c>
      <c r="E10" s="54">
        <f>8*1.05</f>
        <v>8.4</v>
      </c>
      <c r="F10" s="55">
        <v>6000</v>
      </c>
      <c r="G10" s="86">
        <f t="shared" si="0"/>
        <v>50400</v>
      </c>
    </row>
    <row r="11" spans="1:15" ht="12" customHeight="1" x14ac:dyDescent="0.3">
      <c r="A11" s="74"/>
      <c r="B11" s="81" t="s">
        <v>58</v>
      </c>
      <c r="C11" s="52"/>
      <c r="D11" s="53"/>
      <c r="E11" s="54"/>
      <c r="F11" s="55"/>
      <c r="G11" s="86">
        <f t="shared" si="0"/>
        <v>0</v>
      </c>
    </row>
    <row r="12" spans="1:15" ht="12" customHeight="1" x14ac:dyDescent="0.3">
      <c r="A12" s="74"/>
      <c r="B12" s="81" t="s">
        <v>58</v>
      </c>
      <c r="C12" s="52"/>
      <c r="D12" s="53"/>
      <c r="E12" s="54"/>
      <c r="F12" s="55"/>
      <c r="G12" s="86">
        <f t="shared" si="0"/>
        <v>0</v>
      </c>
    </row>
    <row r="13" spans="1:15" ht="12" customHeight="1" x14ac:dyDescent="0.3">
      <c r="A13" s="74"/>
      <c r="B13" s="81" t="s">
        <v>58</v>
      </c>
      <c r="C13" s="82"/>
      <c r="D13" s="83"/>
      <c r="E13" s="84"/>
      <c r="F13" s="85"/>
      <c r="G13" s="86">
        <f t="shared" si="0"/>
        <v>0</v>
      </c>
    </row>
    <row r="14" spans="1:15" ht="12" customHeight="1" x14ac:dyDescent="0.3">
      <c r="A14" s="74"/>
      <c r="B14" s="81" t="s">
        <v>58</v>
      </c>
      <c r="C14" s="82"/>
      <c r="D14" s="83"/>
      <c r="E14" s="84"/>
      <c r="F14" s="85"/>
      <c r="G14" s="86">
        <f t="shared" si="0"/>
        <v>0</v>
      </c>
    </row>
    <row r="15" spans="1:15" ht="12" customHeight="1" x14ac:dyDescent="0.3">
      <c r="A15" s="74"/>
      <c r="B15" s="81" t="s">
        <v>58</v>
      </c>
      <c r="C15" s="82"/>
      <c r="D15" s="83"/>
      <c r="E15" s="84"/>
      <c r="F15" s="85"/>
      <c r="G15" s="86">
        <f t="shared" si="0"/>
        <v>0</v>
      </c>
    </row>
    <row r="16" spans="1:15" ht="12" customHeight="1" x14ac:dyDescent="0.3">
      <c r="A16" s="74"/>
      <c r="B16" s="81" t="s">
        <v>58</v>
      </c>
      <c r="C16" s="82"/>
      <c r="D16" s="83"/>
      <c r="E16" s="84"/>
      <c r="F16" s="85"/>
      <c r="G16" s="86">
        <f t="shared" si="0"/>
        <v>0</v>
      </c>
    </row>
    <row r="17" spans="1:9" ht="12" customHeight="1" x14ac:dyDescent="0.3">
      <c r="A17" s="74"/>
      <c r="B17" s="81" t="s">
        <v>58</v>
      </c>
      <c r="C17" s="82"/>
      <c r="D17" s="83"/>
      <c r="E17" s="84"/>
      <c r="F17" s="85"/>
      <c r="G17" s="86">
        <f t="shared" si="0"/>
        <v>0</v>
      </c>
    </row>
    <row r="18" spans="1:9" ht="12" customHeight="1" x14ac:dyDescent="0.3">
      <c r="A18" s="74"/>
      <c r="B18" s="81" t="s">
        <v>58</v>
      </c>
      <c r="C18" s="82"/>
      <c r="D18" s="83"/>
      <c r="E18" s="84"/>
      <c r="F18" s="85"/>
      <c r="G18" s="86">
        <f t="shared" si="0"/>
        <v>0</v>
      </c>
    </row>
    <row r="19" spans="1:9" ht="12" customHeight="1" x14ac:dyDescent="0.3">
      <c r="A19" s="74"/>
      <c r="B19" s="81" t="s">
        <v>58</v>
      </c>
      <c r="C19" s="82"/>
      <c r="D19" s="83"/>
      <c r="E19" s="84"/>
      <c r="F19" s="85"/>
      <c r="G19" s="86">
        <f t="shared" si="0"/>
        <v>0</v>
      </c>
    </row>
    <row r="20" spans="1:9" ht="12" customHeight="1" x14ac:dyDescent="0.3">
      <c r="A20" s="74"/>
      <c r="B20" s="81" t="s">
        <v>58</v>
      </c>
      <c r="C20" s="82"/>
      <c r="D20" s="83"/>
      <c r="E20" s="84"/>
      <c r="F20" s="85"/>
      <c r="G20" s="86"/>
    </row>
    <row r="21" spans="1:9" ht="12" customHeight="1" x14ac:dyDescent="0.3">
      <c r="A21" s="74"/>
      <c r="B21" s="81" t="s">
        <v>58</v>
      </c>
      <c r="C21" s="82"/>
      <c r="D21" s="83"/>
      <c r="E21" s="84"/>
      <c r="F21" s="85"/>
      <c r="G21" s="86"/>
    </row>
    <row r="22" spans="1:9" ht="12" customHeight="1" x14ac:dyDescent="0.3">
      <c r="A22" s="74"/>
      <c r="B22" s="81" t="s">
        <v>58</v>
      </c>
      <c r="C22" s="82"/>
      <c r="D22" s="83"/>
      <c r="E22" s="84"/>
      <c r="F22" s="85"/>
      <c r="G22" s="86"/>
    </row>
    <row r="23" spans="1:9" ht="12" customHeight="1" thickBot="1" x14ac:dyDescent="0.35">
      <c r="A23" s="95"/>
      <c r="B23" s="87" t="s">
        <v>107</v>
      </c>
      <c r="C23" s="96"/>
      <c r="D23" s="89"/>
      <c r="E23" s="90"/>
      <c r="F23" s="91"/>
      <c r="G23" s="92">
        <f>SUM(G9:G22)</f>
        <v>54150</v>
      </c>
    </row>
    <row r="24" spans="1:9" ht="9" customHeight="1" thickBot="1" x14ac:dyDescent="0.35">
      <c r="A24" s="95"/>
      <c r="B24" s="95"/>
      <c r="C24" s="97"/>
      <c r="D24" s="98"/>
      <c r="E24" s="99"/>
      <c r="F24" s="100"/>
      <c r="G24" s="100"/>
    </row>
    <row r="25" spans="1:9" ht="12" customHeight="1" x14ac:dyDescent="0.3">
      <c r="A25" s="95"/>
      <c r="B25" s="101">
        <v>1</v>
      </c>
      <c r="C25" s="102" t="s">
        <v>68</v>
      </c>
      <c r="D25" s="103" t="s">
        <v>67</v>
      </c>
      <c r="E25" s="104"/>
      <c r="F25" s="105"/>
      <c r="G25" s="106">
        <f>G8</f>
        <v>15835.466666666667</v>
      </c>
    </row>
    <row r="26" spans="1:9" ht="12" customHeight="1" x14ac:dyDescent="0.3">
      <c r="A26" s="95"/>
      <c r="B26" s="107">
        <v>2</v>
      </c>
      <c r="C26" s="108" t="s">
        <v>66</v>
      </c>
      <c r="D26" s="109" t="s">
        <v>69</v>
      </c>
      <c r="E26" s="110"/>
      <c r="F26" s="111"/>
      <c r="G26" s="112">
        <f>G23</f>
        <v>54150</v>
      </c>
    </row>
    <row r="27" spans="1:9" ht="12" customHeight="1" x14ac:dyDescent="0.3">
      <c r="A27" s="95"/>
      <c r="B27" s="107">
        <v>3</v>
      </c>
      <c r="C27" s="108" t="s">
        <v>70</v>
      </c>
      <c r="D27" s="109" t="s">
        <v>71</v>
      </c>
      <c r="E27" s="110"/>
      <c r="F27" s="111"/>
      <c r="G27" s="112"/>
    </row>
    <row r="28" spans="1:9" ht="12" customHeight="1" x14ac:dyDescent="0.3">
      <c r="A28" s="95"/>
      <c r="B28" s="107">
        <v>4</v>
      </c>
      <c r="C28" s="113" t="s">
        <v>72</v>
      </c>
      <c r="D28" s="109" t="s">
        <v>73</v>
      </c>
      <c r="E28" s="110"/>
      <c r="F28" s="111"/>
      <c r="G28" s="114">
        <f>SUM(G25:G27)</f>
        <v>69985.466666666674</v>
      </c>
      <c r="H28" s="93"/>
      <c r="I28" s="93">
        <f>G28*1.95</f>
        <v>136471.66</v>
      </c>
    </row>
    <row r="29" spans="1:9" ht="12" customHeight="1" x14ac:dyDescent="0.3">
      <c r="A29" s="95"/>
      <c r="B29" s="107">
        <v>5</v>
      </c>
      <c r="C29" s="108" t="s">
        <v>108</v>
      </c>
      <c r="D29" s="109" t="s">
        <v>109</v>
      </c>
      <c r="E29" s="116">
        <v>0.25</v>
      </c>
      <c r="F29" s="111"/>
      <c r="G29" s="112">
        <f>+G28*E29</f>
        <v>17496.366666666669</v>
      </c>
    </row>
    <row r="30" spans="1:9" ht="12" customHeight="1" x14ac:dyDescent="0.3">
      <c r="A30" s="95"/>
      <c r="B30" s="107">
        <v>6</v>
      </c>
      <c r="C30" s="113" t="s">
        <v>110</v>
      </c>
      <c r="D30" s="109" t="s">
        <v>74</v>
      </c>
      <c r="E30" s="116"/>
      <c r="F30" s="111"/>
      <c r="G30" s="114">
        <f>G29+G28</f>
        <v>87481.833333333343</v>
      </c>
    </row>
    <row r="31" spans="1:9" ht="12" customHeight="1" x14ac:dyDescent="0.3">
      <c r="A31" s="95"/>
      <c r="B31" s="107">
        <v>7</v>
      </c>
      <c r="C31" s="108" t="s">
        <v>111</v>
      </c>
      <c r="D31" s="109" t="s">
        <v>112</v>
      </c>
      <c r="E31" s="116">
        <v>7.0000000000000007E-2</v>
      </c>
      <c r="F31" s="111"/>
      <c r="G31" s="112">
        <f>+G30*E31</f>
        <v>6123.7283333333344</v>
      </c>
    </row>
    <row r="32" spans="1:9" ht="12" customHeight="1" x14ac:dyDescent="0.3">
      <c r="A32" s="95"/>
      <c r="B32" s="107">
        <v>8</v>
      </c>
      <c r="C32" s="108" t="s">
        <v>113</v>
      </c>
      <c r="D32" s="109" t="s">
        <v>114</v>
      </c>
      <c r="E32" s="116">
        <v>0.05</v>
      </c>
      <c r="F32" s="111"/>
      <c r="G32" s="112">
        <f>G30*E32</f>
        <v>4374.0916666666672</v>
      </c>
    </row>
    <row r="33" spans="1:12" ht="12" customHeight="1" x14ac:dyDescent="0.3">
      <c r="A33" s="95"/>
      <c r="B33" s="107">
        <v>9</v>
      </c>
      <c r="C33" s="108" t="s">
        <v>75</v>
      </c>
      <c r="D33" s="109" t="s">
        <v>115</v>
      </c>
      <c r="E33" s="116">
        <v>0.2</v>
      </c>
      <c r="F33" s="111"/>
      <c r="G33" s="112">
        <f>G30*E33</f>
        <v>17496.366666666669</v>
      </c>
    </row>
    <row r="34" spans="1:12" ht="12" customHeight="1" x14ac:dyDescent="0.3">
      <c r="A34" s="95"/>
      <c r="B34" s="107">
        <v>10</v>
      </c>
      <c r="C34" s="113" t="s">
        <v>76</v>
      </c>
      <c r="D34" s="109" t="s">
        <v>116</v>
      </c>
      <c r="E34" s="116"/>
      <c r="F34" s="111"/>
      <c r="G34" s="114">
        <f>G33+G32+G31+G30</f>
        <v>115476.02000000002</v>
      </c>
    </row>
    <row r="35" spans="1:12" ht="12" customHeight="1" x14ac:dyDescent="0.3">
      <c r="A35" s="95"/>
      <c r="B35" s="107">
        <v>11</v>
      </c>
      <c r="C35" s="113" t="s">
        <v>117</v>
      </c>
      <c r="D35" s="109" t="s">
        <v>118</v>
      </c>
      <c r="E35" s="116"/>
      <c r="F35" s="111"/>
      <c r="G35" s="112">
        <f>G34-G26</f>
        <v>61326.020000000019</v>
      </c>
    </row>
    <row r="36" spans="1:12" ht="12" customHeight="1" x14ac:dyDescent="0.3">
      <c r="A36" s="95"/>
      <c r="B36" s="107">
        <v>12</v>
      </c>
      <c r="C36" s="108" t="s">
        <v>119</v>
      </c>
      <c r="D36" s="109" t="s">
        <v>77</v>
      </c>
      <c r="E36" s="116">
        <v>0.1</v>
      </c>
      <c r="F36" s="111"/>
      <c r="G36" s="112">
        <f>G34*E36</f>
        <v>11547.602000000003</v>
      </c>
    </row>
    <row r="37" spans="1:12" ht="12" customHeight="1" thickBot="1" x14ac:dyDescent="0.35">
      <c r="A37" s="95"/>
      <c r="B37" s="117">
        <v>13</v>
      </c>
      <c r="C37" s="88" t="s">
        <v>78</v>
      </c>
      <c r="D37" s="89"/>
      <c r="E37" s="118">
        <v>0</v>
      </c>
      <c r="F37" s="91"/>
      <c r="G37" s="119">
        <f>G33*E37</f>
        <v>0</v>
      </c>
    </row>
    <row r="38" spans="1:12" ht="8.25" customHeight="1" thickBot="1" x14ac:dyDescent="0.35">
      <c r="A38" s="95"/>
      <c r="B38" s="120"/>
      <c r="C38" s="121"/>
      <c r="D38" s="120"/>
      <c r="E38" s="122"/>
      <c r="F38" s="123"/>
      <c r="G38" s="123"/>
    </row>
    <row r="39" spans="1:12" ht="21" customHeight="1" thickBot="1" x14ac:dyDescent="0.35">
      <c r="A39" s="95"/>
      <c r="B39" s="228">
        <v>16</v>
      </c>
      <c r="C39" s="229" t="s">
        <v>124</v>
      </c>
      <c r="D39" s="230" t="s">
        <v>121</v>
      </c>
      <c r="E39" s="231"/>
      <c r="F39" s="232"/>
      <c r="G39" s="233">
        <f>G35+G36+G37</f>
        <v>72873.622000000018</v>
      </c>
      <c r="I39" s="93"/>
      <c r="J39" s="93">
        <v>1200</v>
      </c>
      <c r="K39" s="315">
        <f>G39/J39</f>
        <v>60.728018333333345</v>
      </c>
    </row>
    <row r="40" spans="1:12" ht="10.8" thickBot="1" x14ac:dyDescent="0.35"/>
    <row r="41" spans="1:12" ht="10.8" thickBot="1" x14ac:dyDescent="0.35">
      <c r="A41" s="69" t="s">
        <v>18</v>
      </c>
      <c r="B41" s="70" t="s">
        <v>55</v>
      </c>
      <c r="C41" s="70" t="s">
        <v>268</v>
      </c>
      <c r="D41" s="71" t="s">
        <v>100</v>
      </c>
      <c r="E41" s="72"/>
      <c r="F41" s="72"/>
      <c r="G41" s="73"/>
    </row>
    <row r="42" spans="1:12" x14ac:dyDescent="0.3">
      <c r="A42" s="74"/>
      <c r="B42" s="128" t="s">
        <v>56</v>
      </c>
      <c r="C42" s="129" t="s">
        <v>101</v>
      </c>
      <c r="D42" s="130" t="s">
        <v>102</v>
      </c>
      <c r="E42" s="131"/>
      <c r="F42" s="132">
        <f>F3</f>
        <v>14677.888888888889</v>
      </c>
      <c r="G42" s="133">
        <f>E42*F42</f>
        <v>0</v>
      </c>
    </row>
    <row r="43" spans="1:12" x14ac:dyDescent="0.3">
      <c r="A43" s="74"/>
      <c r="B43" s="81" t="s">
        <v>56</v>
      </c>
      <c r="C43" s="82" t="s">
        <v>103</v>
      </c>
      <c r="D43" s="83" t="s">
        <v>102</v>
      </c>
      <c r="E43" s="84">
        <v>0</v>
      </c>
      <c r="F43" s="132">
        <f t="shared" ref="F43:F46" si="1">F4</f>
        <v>11344.555555555555</v>
      </c>
      <c r="G43" s="86">
        <f>E43*F43</f>
        <v>0</v>
      </c>
    </row>
    <row r="44" spans="1:12" x14ac:dyDescent="0.3">
      <c r="A44" s="74"/>
      <c r="B44" s="81" t="s">
        <v>56</v>
      </c>
      <c r="C44" s="82" t="s">
        <v>104</v>
      </c>
      <c r="D44" s="83" t="s">
        <v>102</v>
      </c>
      <c r="E44" s="84"/>
      <c r="F44" s="132">
        <f t="shared" si="1"/>
        <v>10789</v>
      </c>
      <c r="G44" s="86">
        <f>E44*F44</f>
        <v>0</v>
      </c>
    </row>
    <row r="45" spans="1:12" x14ac:dyDescent="0.3">
      <c r="A45" s="74"/>
      <c r="B45" s="81" t="s">
        <v>56</v>
      </c>
      <c r="C45" s="82" t="s">
        <v>57</v>
      </c>
      <c r="D45" s="83" t="s">
        <v>102</v>
      </c>
      <c r="E45" s="84">
        <v>10.15</v>
      </c>
      <c r="F45" s="132">
        <f t="shared" si="1"/>
        <v>9656.8888888888887</v>
      </c>
      <c r="G45" s="86">
        <f>E45*F45</f>
        <v>98017.422222222231</v>
      </c>
    </row>
    <row r="46" spans="1:12" x14ac:dyDescent="0.3">
      <c r="A46" s="74"/>
      <c r="B46" s="81" t="s">
        <v>56</v>
      </c>
      <c r="C46" s="82" t="s">
        <v>105</v>
      </c>
      <c r="D46" s="83" t="s">
        <v>102</v>
      </c>
      <c r="E46" s="84">
        <v>0</v>
      </c>
      <c r="F46" s="132">
        <f t="shared" si="1"/>
        <v>9656.8888888888887</v>
      </c>
      <c r="G46" s="86">
        <f>E46*F46</f>
        <v>0</v>
      </c>
    </row>
    <row r="47" spans="1:12" ht="10.8" thickBot="1" x14ac:dyDescent="0.35">
      <c r="A47" s="74"/>
      <c r="B47" s="87" t="s">
        <v>106</v>
      </c>
      <c r="C47" s="88"/>
      <c r="D47" s="89"/>
      <c r="E47" s="90"/>
      <c r="F47" s="91"/>
      <c r="G47" s="92">
        <f>SUM(G42:G46)</f>
        <v>98017.422222222231</v>
      </c>
      <c r="L47" s="93"/>
    </row>
    <row r="48" spans="1:12" x14ac:dyDescent="0.3">
      <c r="A48" s="74"/>
      <c r="B48" s="75" t="s">
        <v>58</v>
      </c>
      <c r="C48" s="52"/>
      <c r="D48" s="53"/>
      <c r="E48" s="54"/>
      <c r="F48" s="55"/>
      <c r="G48" s="80">
        <f t="shared" ref="G48:G58" si="2">E48*F48</f>
        <v>0</v>
      </c>
    </row>
    <row r="49" spans="1:7" x14ac:dyDescent="0.3">
      <c r="A49" s="74"/>
      <c r="B49" s="81" t="s">
        <v>58</v>
      </c>
      <c r="C49" s="52"/>
      <c r="D49" s="53"/>
      <c r="E49" s="54"/>
      <c r="F49" s="55"/>
      <c r="G49" s="86">
        <f t="shared" si="2"/>
        <v>0</v>
      </c>
    </row>
    <row r="50" spans="1:7" x14ac:dyDescent="0.3">
      <c r="A50" s="74"/>
      <c r="B50" s="81" t="s">
        <v>58</v>
      </c>
      <c r="C50" s="52"/>
      <c r="D50" s="53"/>
      <c r="E50" s="54"/>
      <c r="F50" s="55"/>
      <c r="G50" s="86">
        <f t="shared" si="2"/>
        <v>0</v>
      </c>
    </row>
    <row r="51" spans="1:7" x14ac:dyDescent="0.3">
      <c r="A51" s="74"/>
      <c r="B51" s="81" t="s">
        <v>58</v>
      </c>
      <c r="C51" s="52"/>
      <c r="D51" s="53"/>
      <c r="E51" s="54"/>
      <c r="F51" s="55"/>
      <c r="G51" s="86">
        <f t="shared" si="2"/>
        <v>0</v>
      </c>
    </row>
    <row r="52" spans="1:7" x14ac:dyDescent="0.3">
      <c r="A52" s="74"/>
      <c r="B52" s="81" t="s">
        <v>58</v>
      </c>
      <c r="C52" s="82"/>
      <c r="D52" s="83"/>
      <c r="E52" s="84"/>
      <c r="F52" s="85"/>
      <c r="G52" s="86">
        <f t="shared" si="2"/>
        <v>0</v>
      </c>
    </row>
    <row r="53" spans="1:7" x14ac:dyDescent="0.3">
      <c r="A53" s="74"/>
      <c r="B53" s="81" t="s">
        <v>58</v>
      </c>
      <c r="C53" s="82"/>
      <c r="D53" s="83"/>
      <c r="E53" s="84"/>
      <c r="F53" s="85"/>
      <c r="G53" s="86">
        <f t="shared" si="2"/>
        <v>0</v>
      </c>
    </row>
    <row r="54" spans="1:7" x14ac:dyDescent="0.3">
      <c r="A54" s="74"/>
      <c r="B54" s="81" t="s">
        <v>58</v>
      </c>
      <c r="C54" s="82"/>
      <c r="D54" s="83"/>
      <c r="E54" s="84"/>
      <c r="F54" s="85"/>
      <c r="G54" s="86">
        <f t="shared" si="2"/>
        <v>0</v>
      </c>
    </row>
    <row r="55" spans="1:7" x14ac:dyDescent="0.3">
      <c r="A55" s="74"/>
      <c r="B55" s="81" t="s">
        <v>58</v>
      </c>
      <c r="C55" s="82"/>
      <c r="D55" s="83"/>
      <c r="E55" s="84"/>
      <c r="F55" s="85"/>
      <c r="G55" s="86">
        <f t="shared" si="2"/>
        <v>0</v>
      </c>
    </row>
    <row r="56" spans="1:7" x14ac:dyDescent="0.3">
      <c r="A56" s="74"/>
      <c r="B56" s="81" t="s">
        <v>58</v>
      </c>
      <c r="C56" s="82"/>
      <c r="D56" s="83"/>
      <c r="E56" s="84"/>
      <c r="F56" s="85"/>
      <c r="G56" s="86">
        <f t="shared" si="2"/>
        <v>0</v>
      </c>
    </row>
    <row r="57" spans="1:7" x14ac:dyDescent="0.3">
      <c r="A57" s="74"/>
      <c r="B57" s="81" t="s">
        <v>58</v>
      </c>
      <c r="C57" s="82"/>
      <c r="D57" s="83"/>
      <c r="E57" s="84"/>
      <c r="F57" s="85"/>
      <c r="G57" s="86">
        <f t="shared" si="2"/>
        <v>0</v>
      </c>
    </row>
    <row r="58" spans="1:7" x14ac:dyDescent="0.3">
      <c r="A58" s="74"/>
      <c r="B58" s="81" t="s">
        <v>58</v>
      </c>
      <c r="C58" s="82"/>
      <c r="D58" s="83"/>
      <c r="E58" s="84"/>
      <c r="F58" s="85"/>
      <c r="G58" s="86">
        <f t="shared" si="2"/>
        <v>0</v>
      </c>
    </row>
    <row r="59" spans="1:7" x14ac:dyDescent="0.3">
      <c r="A59" s="74"/>
      <c r="B59" s="81" t="s">
        <v>58</v>
      </c>
      <c r="C59" s="82"/>
      <c r="D59" s="83"/>
      <c r="E59" s="84"/>
      <c r="F59" s="85"/>
      <c r="G59" s="86"/>
    </row>
    <row r="60" spans="1:7" x14ac:dyDescent="0.3">
      <c r="A60" s="74"/>
      <c r="B60" s="81" t="s">
        <v>58</v>
      </c>
      <c r="C60" s="82"/>
      <c r="D60" s="83"/>
      <c r="E60" s="84"/>
      <c r="F60" s="85"/>
      <c r="G60" s="86"/>
    </row>
    <row r="61" spans="1:7" x14ac:dyDescent="0.3">
      <c r="A61" s="74"/>
      <c r="B61" s="81" t="s">
        <v>58</v>
      </c>
      <c r="C61" s="82"/>
      <c r="D61" s="83"/>
      <c r="E61" s="84"/>
      <c r="F61" s="85"/>
      <c r="G61" s="86"/>
    </row>
    <row r="62" spans="1:7" ht="10.8" thickBot="1" x14ac:dyDescent="0.35">
      <c r="A62" s="95"/>
      <c r="B62" s="87" t="s">
        <v>107</v>
      </c>
      <c r="C62" s="96"/>
      <c r="D62" s="89"/>
      <c r="E62" s="90"/>
      <c r="F62" s="91"/>
      <c r="G62" s="92">
        <f>SUM(G48:G61)</f>
        <v>0</v>
      </c>
    </row>
    <row r="63" spans="1:7" ht="10.8" thickBot="1" x14ac:dyDescent="0.35">
      <c r="A63" s="95"/>
      <c r="B63" s="95"/>
      <c r="C63" s="97"/>
      <c r="D63" s="98"/>
      <c r="E63" s="99"/>
      <c r="F63" s="100"/>
      <c r="G63" s="100"/>
    </row>
    <row r="64" spans="1:7" x14ac:dyDescent="0.3">
      <c r="A64" s="95"/>
      <c r="B64" s="101">
        <v>1</v>
      </c>
      <c r="C64" s="102" t="s">
        <v>68</v>
      </c>
      <c r="D64" s="103" t="s">
        <v>67</v>
      </c>
      <c r="E64" s="104"/>
      <c r="F64" s="105"/>
      <c r="G64" s="106">
        <f>G47</f>
        <v>98017.422222222231</v>
      </c>
    </row>
    <row r="65" spans="1:12" x14ac:dyDescent="0.3">
      <c r="A65" s="95"/>
      <c r="B65" s="107">
        <v>2</v>
      </c>
      <c r="C65" s="108" t="s">
        <v>66</v>
      </c>
      <c r="D65" s="109" t="s">
        <v>69</v>
      </c>
      <c r="E65" s="110"/>
      <c r="F65" s="111"/>
      <c r="G65" s="112">
        <f>G62</f>
        <v>0</v>
      </c>
    </row>
    <row r="66" spans="1:12" x14ac:dyDescent="0.3">
      <c r="A66" s="95"/>
      <c r="B66" s="107">
        <v>3</v>
      </c>
      <c r="C66" s="108" t="s">
        <v>70</v>
      </c>
      <c r="D66" s="109" t="s">
        <v>71</v>
      </c>
      <c r="E66" s="110"/>
      <c r="F66" s="111"/>
      <c r="G66" s="112"/>
    </row>
    <row r="67" spans="1:12" x14ac:dyDescent="0.3">
      <c r="A67" s="95"/>
      <c r="B67" s="107">
        <v>4</v>
      </c>
      <c r="C67" s="113" t="s">
        <v>72</v>
      </c>
      <c r="D67" s="109" t="s">
        <v>73</v>
      </c>
      <c r="E67" s="110"/>
      <c r="F67" s="111"/>
      <c r="G67" s="114">
        <f>SUM(G64:G66)</f>
        <v>98017.422222222231</v>
      </c>
    </row>
    <row r="68" spans="1:12" x14ac:dyDescent="0.3">
      <c r="A68" s="95"/>
      <c r="B68" s="107">
        <v>5</v>
      </c>
      <c r="C68" s="108" t="s">
        <v>108</v>
      </c>
      <c r="D68" s="109" t="s">
        <v>109</v>
      </c>
      <c r="E68" s="116">
        <f>E29</f>
        <v>0.25</v>
      </c>
      <c r="F68" s="111"/>
      <c r="G68" s="112">
        <f>+G67*E68</f>
        <v>24504.355555555558</v>
      </c>
    </row>
    <row r="69" spans="1:12" x14ac:dyDescent="0.3">
      <c r="A69" s="95"/>
      <c r="B69" s="107">
        <v>6</v>
      </c>
      <c r="C69" s="113" t="s">
        <v>110</v>
      </c>
      <c r="D69" s="109" t="s">
        <v>74</v>
      </c>
      <c r="E69" s="116">
        <f t="shared" ref="E69:E76" si="3">E30</f>
        <v>0</v>
      </c>
      <c r="F69" s="111"/>
      <c r="G69" s="114">
        <f>G68+G67</f>
        <v>122521.77777777778</v>
      </c>
    </row>
    <row r="70" spans="1:12" x14ac:dyDescent="0.3">
      <c r="A70" s="95"/>
      <c r="B70" s="107">
        <v>7</v>
      </c>
      <c r="C70" s="108" t="s">
        <v>111</v>
      </c>
      <c r="D70" s="109" t="s">
        <v>112</v>
      </c>
      <c r="E70" s="116">
        <f t="shared" si="3"/>
        <v>7.0000000000000007E-2</v>
      </c>
      <c r="F70" s="111"/>
      <c r="G70" s="112">
        <f>+G69*E70</f>
        <v>8576.5244444444452</v>
      </c>
    </row>
    <row r="71" spans="1:12" x14ac:dyDescent="0.3">
      <c r="A71" s="95"/>
      <c r="B71" s="107">
        <v>8</v>
      </c>
      <c r="C71" s="108" t="s">
        <v>113</v>
      </c>
      <c r="D71" s="109" t="s">
        <v>114</v>
      </c>
      <c r="E71" s="116">
        <f t="shared" si="3"/>
        <v>0.05</v>
      </c>
      <c r="F71" s="111"/>
      <c r="G71" s="112">
        <f>G69*E71</f>
        <v>6126.0888888888894</v>
      </c>
    </row>
    <row r="72" spans="1:12" x14ac:dyDescent="0.3">
      <c r="A72" s="95"/>
      <c r="B72" s="107">
        <v>9</v>
      </c>
      <c r="C72" s="108" t="s">
        <v>75</v>
      </c>
      <c r="D72" s="109" t="s">
        <v>115</v>
      </c>
      <c r="E72" s="116">
        <f t="shared" si="3"/>
        <v>0.2</v>
      </c>
      <c r="F72" s="111"/>
      <c r="G72" s="112">
        <f>G69*E72</f>
        <v>24504.355555555558</v>
      </c>
    </row>
    <row r="73" spans="1:12" x14ac:dyDescent="0.3">
      <c r="A73" s="95"/>
      <c r="B73" s="107">
        <v>10</v>
      </c>
      <c r="C73" s="113" t="s">
        <v>76</v>
      </c>
      <c r="D73" s="109" t="s">
        <v>116</v>
      </c>
      <c r="E73" s="116">
        <f t="shared" si="3"/>
        <v>0</v>
      </c>
      <c r="F73" s="111"/>
      <c r="G73" s="114">
        <f>G72+G71+G70+G69</f>
        <v>161728.74666666667</v>
      </c>
    </row>
    <row r="74" spans="1:12" x14ac:dyDescent="0.3">
      <c r="A74" s="95"/>
      <c r="B74" s="107">
        <v>11</v>
      </c>
      <c r="C74" s="113" t="s">
        <v>117</v>
      </c>
      <c r="D74" s="109" t="s">
        <v>118</v>
      </c>
      <c r="E74" s="116">
        <f t="shared" si="3"/>
        <v>0</v>
      </c>
      <c r="F74" s="111"/>
      <c r="G74" s="112">
        <f>G73-G65</f>
        <v>161728.74666666667</v>
      </c>
    </row>
    <row r="75" spans="1:12" x14ac:dyDescent="0.3">
      <c r="A75" s="95"/>
      <c r="B75" s="107">
        <v>12</v>
      </c>
      <c r="C75" s="108" t="s">
        <v>119</v>
      </c>
      <c r="D75" s="109" t="s">
        <v>77</v>
      </c>
      <c r="E75" s="116">
        <f t="shared" si="3"/>
        <v>0.1</v>
      </c>
      <c r="F75" s="111"/>
      <c r="G75" s="112">
        <f>G73*E75</f>
        <v>16172.874666666668</v>
      </c>
    </row>
    <row r="76" spans="1:12" ht="10.8" thickBot="1" x14ac:dyDescent="0.35">
      <c r="A76" s="95"/>
      <c r="B76" s="117">
        <v>13</v>
      </c>
      <c r="C76" s="88" t="s">
        <v>78</v>
      </c>
      <c r="D76" s="89"/>
      <c r="E76" s="118">
        <f t="shared" si="3"/>
        <v>0</v>
      </c>
      <c r="F76" s="91"/>
      <c r="G76" s="119">
        <f>G72*E76</f>
        <v>0</v>
      </c>
    </row>
    <row r="77" spans="1:12" ht="10.8" thickBot="1" x14ac:dyDescent="0.35">
      <c r="A77" s="95"/>
      <c r="B77" s="120"/>
      <c r="C77" s="121"/>
      <c r="D77" s="120"/>
      <c r="E77" s="122"/>
      <c r="F77" s="123"/>
      <c r="G77" s="123"/>
    </row>
    <row r="78" spans="1:12" ht="21" customHeight="1" thickBot="1" x14ac:dyDescent="0.35">
      <c r="A78" s="95"/>
      <c r="B78" s="228">
        <v>16</v>
      </c>
      <c r="C78" s="229" t="s">
        <v>124</v>
      </c>
      <c r="D78" s="230" t="s">
        <v>121</v>
      </c>
      <c r="E78" s="231"/>
      <c r="F78" s="232"/>
      <c r="G78" s="233">
        <f>G74+G75+G76</f>
        <v>177901.62133333334</v>
      </c>
      <c r="J78" s="93">
        <f>J39</f>
        <v>1200</v>
      </c>
      <c r="K78" s="315">
        <f>G78/J78</f>
        <v>148.25135111111112</v>
      </c>
      <c r="L78" s="93"/>
    </row>
    <row r="79" spans="1:12" ht="10.8" customHeight="1" thickBot="1" x14ac:dyDescent="0.35">
      <c r="A79" s="95"/>
      <c r="B79" s="120"/>
      <c r="C79" s="121"/>
      <c r="D79" s="120"/>
      <c r="E79" s="311"/>
      <c r="F79" s="123"/>
      <c r="G79" s="312"/>
      <c r="J79" s="93"/>
      <c r="L79" s="93"/>
    </row>
    <row r="80" spans="1:12" ht="10.8" thickBot="1" x14ac:dyDescent="0.35">
      <c r="A80" s="69" t="s">
        <v>18</v>
      </c>
      <c r="B80" s="70" t="s">
        <v>55</v>
      </c>
      <c r="C80" s="70" t="s">
        <v>406</v>
      </c>
      <c r="D80" s="71" t="s">
        <v>100</v>
      </c>
      <c r="E80" s="72"/>
      <c r="F80" s="72"/>
      <c r="G80" s="73"/>
    </row>
    <row r="81" spans="1:12" x14ac:dyDescent="0.3">
      <c r="A81" s="74"/>
      <c r="B81" s="128" t="s">
        <v>56</v>
      </c>
      <c r="C81" s="129" t="s">
        <v>101</v>
      </c>
      <c r="D81" s="130" t="s">
        <v>102</v>
      </c>
      <c r="E81" s="131"/>
      <c r="F81" s="132">
        <f>F42</f>
        <v>14677.888888888889</v>
      </c>
      <c r="G81" s="133">
        <f>E81*F81</f>
        <v>0</v>
      </c>
    </row>
    <row r="82" spans="1:12" x14ac:dyDescent="0.3">
      <c r="A82" s="74"/>
      <c r="B82" s="81" t="s">
        <v>56</v>
      </c>
      <c r="C82" s="82" t="s">
        <v>103</v>
      </c>
      <c r="D82" s="83" t="s">
        <v>102</v>
      </c>
      <c r="E82" s="84">
        <v>0</v>
      </c>
      <c r="F82" s="132">
        <f t="shared" ref="F82:F85" si="4">F43</f>
        <v>11344.555555555555</v>
      </c>
      <c r="G82" s="86">
        <f>E82*F82</f>
        <v>0</v>
      </c>
    </row>
    <row r="83" spans="1:12" x14ac:dyDescent="0.3">
      <c r="A83" s="74"/>
      <c r="B83" s="81" t="s">
        <v>56</v>
      </c>
      <c r="C83" s="82" t="s">
        <v>104</v>
      </c>
      <c r="D83" s="83" t="s">
        <v>102</v>
      </c>
      <c r="E83" s="84"/>
      <c r="F83" s="132">
        <f t="shared" si="4"/>
        <v>10789</v>
      </c>
      <c r="G83" s="86">
        <f>E83*F83</f>
        <v>0</v>
      </c>
    </row>
    <row r="84" spans="1:12" x14ac:dyDescent="0.3">
      <c r="A84" s="74"/>
      <c r="B84" s="81" t="s">
        <v>56</v>
      </c>
      <c r="C84" s="82" t="s">
        <v>57</v>
      </c>
      <c r="D84" s="83" t="s">
        <v>102</v>
      </c>
      <c r="E84" s="84">
        <v>10.15</v>
      </c>
      <c r="F84" s="132">
        <f t="shared" si="4"/>
        <v>9656.8888888888887</v>
      </c>
      <c r="G84" s="86">
        <f>E84*F84</f>
        <v>98017.422222222231</v>
      </c>
    </row>
    <row r="85" spans="1:12" x14ac:dyDescent="0.3">
      <c r="A85" s="74"/>
      <c r="B85" s="81" t="s">
        <v>56</v>
      </c>
      <c r="C85" s="82" t="s">
        <v>105</v>
      </c>
      <c r="D85" s="83" t="s">
        <v>102</v>
      </c>
      <c r="E85" s="84">
        <v>0</v>
      </c>
      <c r="F85" s="132">
        <f t="shared" si="4"/>
        <v>9656.8888888888887</v>
      </c>
      <c r="G85" s="86">
        <f>E85*F85</f>
        <v>0</v>
      </c>
    </row>
    <row r="86" spans="1:12" ht="10.8" thickBot="1" x14ac:dyDescent="0.35">
      <c r="A86" s="74"/>
      <c r="B86" s="87" t="s">
        <v>106</v>
      </c>
      <c r="C86" s="88"/>
      <c r="D86" s="89"/>
      <c r="E86" s="90"/>
      <c r="F86" s="91"/>
      <c r="G86" s="92">
        <f>SUM(G81:G85)</f>
        <v>98017.422222222231</v>
      </c>
      <c r="L86" s="93"/>
    </row>
    <row r="87" spans="1:12" x14ac:dyDescent="0.3">
      <c r="A87" s="74"/>
      <c r="B87" s="75" t="s">
        <v>58</v>
      </c>
      <c r="C87" s="52"/>
      <c r="D87" s="53"/>
      <c r="E87" s="54"/>
      <c r="F87" s="55"/>
      <c r="G87" s="80">
        <f t="shared" ref="G87:G97" si="5">E87*F87</f>
        <v>0</v>
      </c>
    </row>
    <row r="88" spans="1:12" x14ac:dyDescent="0.3">
      <c r="A88" s="74"/>
      <c r="B88" s="81" t="s">
        <v>58</v>
      </c>
      <c r="C88" s="52"/>
      <c r="D88" s="53"/>
      <c r="E88" s="54"/>
      <c r="F88" s="55"/>
      <c r="G88" s="86">
        <f t="shared" si="5"/>
        <v>0</v>
      </c>
    </row>
    <row r="89" spans="1:12" x14ac:dyDescent="0.3">
      <c r="A89" s="74"/>
      <c r="B89" s="81" t="s">
        <v>58</v>
      </c>
      <c r="C89" s="52"/>
      <c r="D89" s="53"/>
      <c r="E89" s="54"/>
      <c r="F89" s="55"/>
      <c r="G89" s="86">
        <f t="shared" si="5"/>
        <v>0</v>
      </c>
    </row>
    <row r="90" spans="1:12" x14ac:dyDescent="0.3">
      <c r="A90" s="74"/>
      <c r="B90" s="81" t="s">
        <v>58</v>
      </c>
      <c r="C90" s="52"/>
      <c r="D90" s="53"/>
      <c r="E90" s="54"/>
      <c r="F90" s="55"/>
      <c r="G90" s="86">
        <f t="shared" si="5"/>
        <v>0</v>
      </c>
    </row>
    <row r="91" spans="1:12" x14ac:dyDescent="0.3">
      <c r="A91" s="74"/>
      <c r="B91" s="81" t="s">
        <v>58</v>
      </c>
      <c r="C91" s="82"/>
      <c r="D91" s="83"/>
      <c r="E91" s="84"/>
      <c r="F91" s="85"/>
      <c r="G91" s="86">
        <f t="shared" si="5"/>
        <v>0</v>
      </c>
    </row>
    <row r="92" spans="1:12" x14ac:dyDescent="0.3">
      <c r="A92" s="74"/>
      <c r="B92" s="81" t="s">
        <v>58</v>
      </c>
      <c r="C92" s="82"/>
      <c r="D92" s="83"/>
      <c r="E92" s="84"/>
      <c r="F92" s="85"/>
      <c r="G92" s="86">
        <f t="shared" si="5"/>
        <v>0</v>
      </c>
    </row>
    <row r="93" spans="1:12" x14ac:dyDescent="0.3">
      <c r="A93" s="74"/>
      <c r="B93" s="81" t="s">
        <v>58</v>
      </c>
      <c r="C93" s="82"/>
      <c r="D93" s="83"/>
      <c r="E93" s="84"/>
      <c r="F93" s="85"/>
      <c r="G93" s="86">
        <f t="shared" si="5"/>
        <v>0</v>
      </c>
    </row>
    <row r="94" spans="1:12" x14ac:dyDescent="0.3">
      <c r="A94" s="74"/>
      <c r="B94" s="81" t="s">
        <v>58</v>
      </c>
      <c r="C94" s="82"/>
      <c r="D94" s="83"/>
      <c r="E94" s="84"/>
      <c r="F94" s="85"/>
      <c r="G94" s="86">
        <f t="shared" si="5"/>
        <v>0</v>
      </c>
    </row>
    <row r="95" spans="1:12" x14ac:dyDescent="0.3">
      <c r="A95" s="74"/>
      <c r="B95" s="81" t="s">
        <v>58</v>
      </c>
      <c r="C95" s="82"/>
      <c r="D95" s="83"/>
      <c r="E95" s="84"/>
      <c r="F95" s="85"/>
      <c r="G95" s="86">
        <f t="shared" si="5"/>
        <v>0</v>
      </c>
    </row>
    <row r="96" spans="1:12" x14ac:dyDescent="0.3">
      <c r="A96" s="74"/>
      <c r="B96" s="81" t="s">
        <v>58</v>
      </c>
      <c r="C96" s="82"/>
      <c r="D96" s="83"/>
      <c r="E96" s="84"/>
      <c r="F96" s="85"/>
      <c r="G96" s="86">
        <f t="shared" si="5"/>
        <v>0</v>
      </c>
    </row>
    <row r="97" spans="1:9" x14ac:dyDescent="0.3">
      <c r="A97" s="74"/>
      <c r="B97" s="81" t="s">
        <v>58</v>
      </c>
      <c r="C97" s="82"/>
      <c r="D97" s="83"/>
      <c r="E97" s="84"/>
      <c r="F97" s="85"/>
      <c r="G97" s="86">
        <f t="shared" si="5"/>
        <v>0</v>
      </c>
    </row>
    <row r="98" spans="1:9" x14ac:dyDescent="0.3">
      <c r="A98" s="74"/>
      <c r="B98" s="81" t="s">
        <v>58</v>
      </c>
      <c r="C98" s="82"/>
      <c r="D98" s="83"/>
      <c r="E98" s="84"/>
      <c r="F98" s="85"/>
      <c r="G98" s="86"/>
    </row>
    <row r="99" spans="1:9" x14ac:dyDescent="0.3">
      <c r="A99" s="74"/>
      <c r="B99" s="81" t="s">
        <v>58</v>
      </c>
      <c r="C99" s="82"/>
      <c r="D99" s="83"/>
      <c r="E99" s="84"/>
      <c r="F99" s="85"/>
      <c r="G99" s="86"/>
    </row>
    <row r="100" spans="1:9" x14ac:dyDescent="0.3">
      <c r="A100" s="74"/>
      <c r="B100" s="81" t="s">
        <v>58</v>
      </c>
      <c r="C100" s="82"/>
      <c r="D100" s="83"/>
      <c r="E100" s="84"/>
      <c r="F100" s="85"/>
      <c r="G100" s="86"/>
    </row>
    <row r="101" spans="1:9" ht="10.8" thickBot="1" x14ac:dyDescent="0.35">
      <c r="A101" s="95"/>
      <c r="B101" s="87" t="s">
        <v>107</v>
      </c>
      <c r="C101" s="96"/>
      <c r="D101" s="89"/>
      <c r="E101" s="90"/>
      <c r="F101" s="91"/>
      <c r="G101" s="92">
        <f>SUM(G87:G100)</f>
        <v>0</v>
      </c>
    </row>
    <row r="102" spans="1:9" ht="10.8" thickBot="1" x14ac:dyDescent="0.35">
      <c r="A102" s="95"/>
      <c r="B102" s="95"/>
      <c r="C102" s="97"/>
      <c r="D102" s="98"/>
      <c r="E102" s="99"/>
      <c r="F102" s="100"/>
      <c r="G102" s="100"/>
    </row>
    <row r="103" spans="1:9" x14ac:dyDescent="0.3">
      <c r="A103" s="95"/>
      <c r="B103" s="101">
        <v>1</v>
      </c>
      <c r="C103" s="102" t="s">
        <v>68</v>
      </c>
      <c r="D103" s="103" t="s">
        <v>67</v>
      </c>
      <c r="E103" s="104"/>
      <c r="F103" s="105"/>
      <c r="G103" s="106">
        <f>G86</f>
        <v>98017.422222222231</v>
      </c>
    </row>
    <row r="104" spans="1:9" x14ac:dyDescent="0.3">
      <c r="A104" s="95"/>
      <c r="B104" s="107">
        <v>2</v>
      </c>
      <c r="C104" s="108" t="s">
        <v>66</v>
      </c>
      <c r="D104" s="109" t="s">
        <v>69</v>
      </c>
      <c r="E104" s="110"/>
      <c r="F104" s="111"/>
      <c r="G104" s="112">
        <f>G101</f>
        <v>0</v>
      </c>
    </row>
    <row r="105" spans="1:9" x14ac:dyDescent="0.3">
      <c r="A105" s="95"/>
      <c r="B105" s="107">
        <v>3</v>
      </c>
      <c r="C105" s="108" t="s">
        <v>70</v>
      </c>
      <c r="D105" s="109" t="s">
        <v>71</v>
      </c>
      <c r="E105" s="110"/>
      <c r="F105" s="111"/>
      <c r="G105" s="112">
        <v>15000</v>
      </c>
    </row>
    <row r="106" spans="1:9" x14ac:dyDescent="0.3">
      <c r="A106" s="95"/>
      <c r="B106" s="107">
        <v>4</v>
      </c>
      <c r="C106" s="113" t="s">
        <v>72</v>
      </c>
      <c r="D106" s="109" t="s">
        <v>73</v>
      </c>
      <c r="E106" s="110"/>
      <c r="F106" s="111"/>
      <c r="G106" s="114">
        <f>SUM(G103:G105)</f>
        <v>113017.42222222223</v>
      </c>
      <c r="I106" s="93">
        <f>G106*1.95</f>
        <v>220383.97333333336</v>
      </c>
    </row>
    <row r="107" spans="1:9" x14ac:dyDescent="0.3">
      <c r="A107" s="95"/>
      <c r="B107" s="107">
        <v>5</v>
      </c>
      <c r="C107" s="108" t="s">
        <v>108</v>
      </c>
      <c r="D107" s="109" t="s">
        <v>109</v>
      </c>
      <c r="E107" s="116">
        <f>E68</f>
        <v>0.25</v>
      </c>
      <c r="F107" s="111"/>
      <c r="G107" s="112">
        <f>+G106*E107</f>
        <v>28254.355555555558</v>
      </c>
    </row>
    <row r="108" spans="1:9" x14ac:dyDescent="0.3">
      <c r="A108" s="95"/>
      <c r="B108" s="107">
        <v>6</v>
      </c>
      <c r="C108" s="113" t="s">
        <v>110</v>
      </c>
      <c r="D108" s="109" t="s">
        <v>74</v>
      </c>
      <c r="E108" s="116">
        <f t="shared" ref="E108:E115" si="6">E69</f>
        <v>0</v>
      </c>
      <c r="F108" s="111"/>
      <c r="G108" s="114">
        <f>G107+G106</f>
        <v>141271.77777777778</v>
      </c>
    </row>
    <row r="109" spans="1:9" x14ac:dyDescent="0.3">
      <c r="A109" s="95"/>
      <c r="B109" s="107">
        <v>7</v>
      </c>
      <c r="C109" s="108" t="s">
        <v>111</v>
      </c>
      <c r="D109" s="109" t="s">
        <v>112</v>
      </c>
      <c r="E109" s="116">
        <f t="shared" si="6"/>
        <v>7.0000000000000007E-2</v>
      </c>
      <c r="F109" s="111"/>
      <c r="G109" s="112">
        <f>+G108*E109</f>
        <v>9889.0244444444452</v>
      </c>
    </row>
    <row r="110" spans="1:9" x14ac:dyDescent="0.3">
      <c r="A110" s="95"/>
      <c r="B110" s="107">
        <v>8</v>
      </c>
      <c r="C110" s="108" t="s">
        <v>113</v>
      </c>
      <c r="D110" s="109" t="s">
        <v>114</v>
      </c>
      <c r="E110" s="116">
        <f t="shared" si="6"/>
        <v>0.05</v>
      </c>
      <c r="F110" s="111"/>
      <c r="G110" s="112">
        <f>G108*E110</f>
        <v>7063.5888888888894</v>
      </c>
    </row>
    <row r="111" spans="1:9" x14ac:dyDescent="0.3">
      <c r="A111" s="95"/>
      <c r="B111" s="107">
        <v>9</v>
      </c>
      <c r="C111" s="108" t="s">
        <v>75</v>
      </c>
      <c r="D111" s="109" t="s">
        <v>115</v>
      </c>
      <c r="E111" s="116">
        <f t="shared" si="6"/>
        <v>0.2</v>
      </c>
      <c r="F111" s="111"/>
      <c r="G111" s="112">
        <f>G108*E111</f>
        <v>28254.355555555558</v>
      </c>
    </row>
    <row r="112" spans="1:9" x14ac:dyDescent="0.3">
      <c r="A112" s="95"/>
      <c r="B112" s="107">
        <v>10</v>
      </c>
      <c r="C112" s="113" t="s">
        <v>76</v>
      </c>
      <c r="D112" s="109" t="s">
        <v>116</v>
      </c>
      <c r="E112" s="116">
        <f t="shared" si="6"/>
        <v>0</v>
      </c>
      <c r="F112" s="111"/>
      <c r="G112" s="114">
        <f>G111+G110+G109+G108</f>
        <v>186478.74666666667</v>
      </c>
    </row>
    <row r="113" spans="1:12" x14ac:dyDescent="0.3">
      <c r="A113" s="95"/>
      <c r="B113" s="107">
        <v>11</v>
      </c>
      <c r="C113" s="113" t="s">
        <v>117</v>
      </c>
      <c r="D113" s="109" t="s">
        <v>118</v>
      </c>
      <c r="E113" s="116">
        <f t="shared" si="6"/>
        <v>0</v>
      </c>
      <c r="F113" s="111"/>
      <c r="G113" s="112">
        <f>G112-G104</f>
        <v>186478.74666666667</v>
      </c>
    </row>
    <row r="114" spans="1:12" x14ac:dyDescent="0.3">
      <c r="A114" s="95"/>
      <c r="B114" s="107">
        <v>12</v>
      </c>
      <c r="C114" s="108" t="s">
        <v>119</v>
      </c>
      <c r="D114" s="109" t="s">
        <v>77</v>
      </c>
      <c r="E114" s="116">
        <f t="shared" si="6"/>
        <v>0.1</v>
      </c>
      <c r="F114" s="111"/>
      <c r="G114" s="112">
        <f>G112*E114</f>
        <v>18647.874666666667</v>
      </c>
    </row>
    <row r="115" spans="1:12" ht="10.8" thickBot="1" x14ac:dyDescent="0.35">
      <c r="A115" s="95"/>
      <c r="B115" s="117">
        <v>13</v>
      </c>
      <c r="C115" s="88" t="s">
        <v>78</v>
      </c>
      <c r="D115" s="89"/>
      <c r="E115" s="118">
        <f t="shared" si="6"/>
        <v>0</v>
      </c>
      <c r="F115" s="91"/>
      <c r="G115" s="119">
        <f>G111*E115</f>
        <v>0</v>
      </c>
    </row>
    <row r="116" spans="1:12" ht="10.8" thickBot="1" x14ac:dyDescent="0.35">
      <c r="A116" s="95"/>
      <c r="B116" s="120"/>
      <c r="C116" s="121"/>
      <c r="D116" s="120"/>
      <c r="E116" s="122"/>
      <c r="F116" s="123"/>
      <c r="G116" s="123"/>
    </row>
    <row r="117" spans="1:12" ht="21" customHeight="1" thickBot="1" x14ac:dyDescent="0.35">
      <c r="A117" s="95"/>
      <c r="B117" s="228">
        <v>16</v>
      </c>
      <c r="C117" s="229" t="s">
        <v>124</v>
      </c>
      <c r="D117" s="230" t="s">
        <v>121</v>
      </c>
      <c r="E117" s="231"/>
      <c r="F117" s="232"/>
      <c r="G117" s="233">
        <f>G113+G114+G115</f>
        <v>205126.62133333334</v>
      </c>
      <c r="J117" s="93">
        <f>J78</f>
        <v>1200</v>
      </c>
      <c r="K117" s="315">
        <f>G117/J117</f>
        <v>170.93885111111112</v>
      </c>
      <c r="L117" s="93"/>
    </row>
    <row r="118" spans="1:12" ht="12" customHeight="1" thickBot="1" x14ac:dyDescent="0.35">
      <c r="A118" s="95"/>
      <c r="B118" s="120"/>
      <c r="C118" s="121"/>
      <c r="D118" s="120"/>
      <c r="E118" s="311"/>
      <c r="F118" s="123"/>
      <c r="G118" s="312"/>
      <c r="J118" s="93"/>
      <c r="L118" s="93"/>
    </row>
    <row r="119" spans="1:12" ht="10.8" thickBot="1" x14ac:dyDescent="0.35">
      <c r="A119" s="69" t="s">
        <v>18</v>
      </c>
      <c r="B119" s="70" t="s">
        <v>55</v>
      </c>
      <c r="C119" s="70" t="s">
        <v>407</v>
      </c>
      <c r="D119" s="71" t="s">
        <v>408</v>
      </c>
      <c r="E119" s="72"/>
      <c r="F119" s="72"/>
      <c r="G119" s="73"/>
    </row>
    <row r="120" spans="1:12" x14ac:dyDescent="0.3">
      <c r="A120" s="74"/>
      <c r="B120" s="128" t="s">
        <v>56</v>
      </c>
      <c r="C120" s="129" t="s">
        <v>101</v>
      </c>
      <c r="D120" s="130" t="s">
        <v>102</v>
      </c>
      <c r="E120" s="131"/>
      <c r="F120" s="132">
        <f>F81</f>
        <v>14677.888888888889</v>
      </c>
      <c r="G120" s="133">
        <f>E120*F120</f>
        <v>0</v>
      </c>
    </row>
    <row r="121" spans="1:12" x14ac:dyDescent="0.3">
      <c r="A121" s="74"/>
      <c r="B121" s="81" t="s">
        <v>56</v>
      </c>
      <c r="C121" s="82" t="s">
        <v>103</v>
      </c>
      <c r="D121" s="83" t="s">
        <v>102</v>
      </c>
      <c r="E121" s="84">
        <v>0.3</v>
      </c>
      <c r="F121" s="132">
        <f t="shared" ref="F121:F124" si="7">F82</f>
        <v>11344.555555555555</v>
      </c>
      <c r="G121" s="86">
        <f>E121*F121</f>
        <v>3403.3666666666663</v>
      </c>
    </row>
    <row r="122" spans="1:12" x14ac:dyDescent="0.3">
      <c r="A122" s="74"/>
      <c r="B122" s="81" t="s">
        <v>56</v>
      </c>
      <c r="C122" s="82" t="s">
        <v>104</v>
      </c>
      <c r="D122" s="83" t="s">
        <v>102</v>
      </c>
      <c r="E122" s="84"/>
      <c r="F122" s="132">
        <f t="shared" si="7"/>
        <v>10789</v>
      </c>
      <c r="G122" s="86">
        <f>E122*F122</f>
        <v>0</v>
      </c>
    </row>
    <row r="123" spans="1:12" x14ac:dyDescent="0.3">
      <c r="A123" s="74"/>
      <c r="B123" s="81" t="s">
        <v>56</v>
      </c>
      <c r="C123" s="82" t="s">
        <v>57</v>
      </c>
      <c r="D123" s="83" t="s">
        <v>102</v>
      </c>
      <c r="E123" s="84">
        <v>0.3</v>
      </c>
      <c r="F123" s="132">
        <f t="shared" si="7"/>
        <v>9656.8888888888887</v>
      </c>
      <c r="G123" s="86">
        <f>E123*F123</f>
        <v>2897.0666666666666</v>
      </c>
    </row>
    <row r="124" spans="1:12" x14ac:dyDescent="0.3">
      <c r="A124" s="74"/>
      <c r="B124" s="81" t="s">
        <v>56</v>
      </c>
      <c r="C124" s="82" t="s">
        <v>105</v>
      </c>
      <c r="D124" s="83" t="s">
        <v>102</v>
      </c>
      <c r="E124" s="84">
        <v>0</v>
      </c>
      <c r="F124" s="132">
        <f t="shared" si="7"/>
        <v>9656.8888888888887</v>
      </c>
      <c r="G124" s="86">
        <f>E124*F124</f>
        <v>0</v>
      </c>
    </row>
    <row r="125" spans="1:12" ht="10.8" thickBot="1" x14ac:dyDescent="0.35">
      <c r="A125" s="74"/>
      <c r="B125" s="87" t="s">
        <v>106</v>
      </c>
      <c r="C125" s="88"/>
      <c r="D125" s="89"/>
      <c r="E125" s="90"/>
      <c r="F125" s="91"/>
      <c r="G125" s="92">
        <f>SUM(G120:G124)</f>
        <v>6300.4333333333325</v>
      </c>
      <c r="L125" s="93"/>
    </row>
    <row r="126" spans="1:12" x14ac:dyDescent="0.3">
      <c r="A126" s="74"/>
      <c r="B126" s="75" t="s">
        <v>58</v>
      </c>
      <c r="C126" s="52"/>
      <c r="D126" s="53"/>
      <c r="E126" s="54"/>
      <c r="F126" s="55"/>
      <c r="G126" s="80">
        <f t="shared" ref="G126:G136" si="8">E126*F126</f>
        <v>0</v>
      </c>
    </row>
    <row r="127" spans="1:12" x14ac:dyDescent="0.3">
      <c r="A127" s="74"/>
      <c r="B127" s="81" t="s">
        <v>58</v>
      </c>
      <c r="C127" s="52"/>
      <c r="D127" s="53"/>
      <c r="E127" s="54"/>
      <c r="F127" s="55"/>
      <c r="G127" s="86">
        <f t="shared" si="8"/>
        <v>0</v>
      </c>
    </row>
    <row r="128" spans="1:12" x14ac:dyDescent="0.3">
      <c r="A128" s="74"/>
      <c r="B128" s="81" t="s">
        <v>58</v>
      </c>
      <c r="C128" s="52"/>
      <c r="D128" s="53"/>
      <c r="E128" s="54"/>
      <c r="F128" s="55"/>
      <c r="G128" s="86">
        <f t="shared" si="8"/>
        <v>0</v>
      </c>
    </row>
    <row r="129" spans="1:7" x14ac:dyDescent="0.3">
      <c r="A129" s="74"/>
      <c r="B129" s="81" t="s">
        <v>58</v>
      </c>
      <c r="C129" s="52"/>
      <c r="D129" s="53"/>
      <c r="E129" s="54"/>
      <c r="F129" s="55"/>
      <c r="G129" s="86">
        <f t="shared" si="8"/>
        <v>0</v>
      </c>
    </row>
    <row r="130" spans="1:7" x14ac:dyDescent="0.3">
      <c r="A130" s="74"/>
      <c r="B130" s="81" t="s">
        <v>58</v>
      </c>
      <c r="C130" s="82"/>
      <c r="D130" s="83"/>
      <c r="E130" s="84"/>
      <c r="F130" s="85"/>
      <c r="G130" s="86">
        <f t="shared" si="8"/>
        <v>0</v>
      </c>
    </row>
    <row r="131" spans="1:7" x14ac:dyDescent="0.3">
      <c r="A131" s="74"/>
      <c r="B131" s="81" t="s">
        <v>58</v>
      </c>
      <c r="C131" s="82"/>
      <c r="D131" s="83"/>
      <c r="E131" s="84"/>
      <c r="F131" s="85"/>
      <c r="G131" s="86">
        <f t="shared" si="8"/>
        <v>0</v>
      </c>
    </row>
    <row r="132" spans="1:7" x14ac:dyDescent="0.3">
      <c r="A132" s="74"/>
      <c r="B132" s="81" t="s">
        <v>58</v>
      </c>
      <c r="C132" s="82"/>
      <c r="D132" s="83"/>
      <c r="E132" s="84"/>
      <c r="F132" s="85"/>
      <c r="G132" s="86">
        <f t="shared" si="8"/>
        <v>0</v>
      </c>
    </row>
    <row r="133" spans="1:7" x14ac:dyDescent="0.3">
      <c r="A133" s="74"/>
      <c r="B133" s="81" t="s">
        <v>58</v>
      </c>
      <c r="C133" s="82"/>
      <c r="D133" s="83"/>
      <c r="E133" s="84"/>
      <c r="F133" s="85"/>
      <c r="G133" s="86">
        <f t="shared" si="8"/>
        <v>0</v>
      </c>
    </row>
    <row r="134" spans="1:7" x14ac:dyDescent="0.3">
      <c r="A134" s="74"/>
      <c r="B134" s="81" t="s">
        <v>58</v>
      </c>
      <c r="C134" s="82"/>
      <c r="D134" s="83"/>
      <c r="E134" s="84"/>
      <c r="F134" s="85"/>
      <c r="G134" s="86">
        <f t="shared" si="8"/>
        <v>0</v>
      </c>
    </row>
    <row r="135" spans="1:7" x14ac:dyDescent="0.3">
      <c r="A135" s="74"/>
      <c r="B135" s="81" t="s">
        <v>58</v>
      </c>
      <c r="C135" s="82"/>
      <c r="D135" s="83"/>
      <c r="E135" s="84"/>
      <c r="F135" s="85"/>
      <c r="G135" s="86">
        <f t="shared" si="8"/>
        <v>0</v>
      </c>
    </row>
    <row r="136" spans="1:7" x14ac:dyDescent="0.3">
      <c r="A136" s="74"/>
      <c r="B136" s="81" t="s">
        <v>58</v>
      </c>
      <c r="C136" s="82"/>
      <c r="D136" s="83"/>
      <c r="E136" s="84"/>
      <c r="F136" s="85"/>
      <c r="G136" s="86">
        <f t="shared" si="8"/>
        <v>0</v>
      </c>
    </row>
    <row r="137" spans="1:7" x14ac:dyDescent="0.3">
      <c r="A137" s="74"/>
      <c r="B137" s="81" t="s">
        <v>58</v>
      </c>
      <c r="C137" s="82"/>
      <c r="D137" s="83"/>
      <c r="E137" s="84"/>
      <c r="F137" s="85"/>
      <c r="G137" s="86"/>
    </row>
    <row r="138" spans="1:7" x14ac:dyDescent="0.3">
      <c r="A138" s="74"/>
      <c r="B138" s="81" t="s">
        <v>58</v>
      </c>
      <c r="C138" s="82"/>
      <c r="D138" s="83"/>
      <c r="E138" s="84"/>
      <c r="F138" s="85"/>
      <c r="G138" s="86"/>
    </row>
    <row r="139" spans="1:7" x14ac:dyDescent="0.3">
      <c r="A139" s="74"/>
      <c r="B139" s="81" t="s">
        <v>58</v>
      </c>
      <c r="C139" s="82"/>
      <c r="D139" s="83"/>
      <c r="E139" s="84"/>
      <c r="F139" s="85"/>
      <c r="G139" s="86"/>
    </row>
    <row r="140" spans="1:7" ht="10.8" thickBot="1" x14ac:dyDescent="0.35">
      <c r="A140" s="95"/>
      <c r="B140" s="87" t="s">
        <v>107</v>
      </c>
      <c r="C140" s="96"/>
      <c r="D140" s="89"/>
      <c r="E140" s="90"/>
      <c r="F140" s="91"/>
      <c r="G140" s="92">
        <f>SUM(G126:G139)</f>
        <v>0</v>
      </c>
    </row>
    <row r="141" spans="1:7" ht="10.8" thickBot="1" x14ac:dyDescent="0.35">
      <c r="A141" s="95"/>
      <c r="B141" s="95"/>
      <c r="C141" s="97"/>
      <c r="D141" s="98"/>
      <c r="E141" s="99"/>
      <c r="F141" s="100"/>
      <c r="G141" s="100"/>
    </row>
    <row r="142" spans="1:7" x14ac:dyDescent="0.3">
      <c r="A142" s="95"/>
      <c r="B142" s="101">
        <v>1</v>
      </c>
      <c r="C142" s="102" t="s">
        <v>68</v>
      </c>
      <c r="D142" s="103" t="s">
        <v>67</v>
      </c>
      <c r="E142" s="104"/>
      <c r="F142" s="105"/>
      <c r="G142" s="106">
        <f>G125</f>
        <v>6300.4333333333325</v>
      </c>
    </row>
    <row r="143" spans="1:7" x14ac:dyDescent="0.3">
      <c r="A143" s="95"/>
      <c r="B143" s="107">
        <v>2</v>
      </c>
      <c r="C143" s="108" t="s">
        <v>66</v>
      </c>
      <c r="D143" s="109" t="s">
        <v>69</v>
      </c>
      <c r="E143" s="110"/>
      <c r="F143" s="111"/>
      <c r="G143" s="112">
        <f>G140</f>
        <v>0</v>
      </c>
    </row>
    <row r="144" spans="1:7" x14ac:dyDescent="0.3">
      <c r="A144" s="95"/>
      <c r="B144" s="107">
        <v>3</v>
      </c>
      <c r="C144" s="108" t="s">
        <v>70</v>
      </c>
      <c r="D144" s="109" t="s">
        <v>71</v>
      </c>
      <c r="E144" s="110"/>
      <c r="F144" s="111"/>
      <c r="G144" s="112">
        <f>2500000/93</f>
        <v>26881.720430107525</v>
      </c>
    </row>
    <row r="145" spans="1:12" x14ac:dyDescent="0.3">
      <c r="A145" s="95"/>
      <c r="B145" s="107">
        <v>4</v>
      </c>
      <c r="C145" s="113" t="s">
        <v>72</v>
      </c>
      <c r="D145" s="109" t="s">
        <v>73</v>
      </c>
      <c r="E145" s="110"/>
      <c r="F145" s="111"/>
      <c r="G145" s="114">
        <f>SUM(G142:G144)</f>
        <v>33182.15376344086</v>
      </c>
    </row>
    <row r="146" spans="1:12" x14ac:dyDescent="0.3">
      <c r="A146" s="95"/>
      <c r="B146" s="107">
        <v>5</v>
      </c>
      <c r="C146" s="108" t="s">
        <v>108</v>
      </c>
      <c r="D146" s="109" t="s">
        <v>109</v>
      </c>
      <c r="E146" s="116">
        <f>E107</f>
        <v>0.25</v>
      </c>
      <c r="F146" s="111"/>
      <c r="G146" s="112">
        <f>+G145*E146</f>
        <v>8295.5384408602149</v>
      </c>
    </row>
    <row r="147" spans="1:12" x14ac:dyDescent="0.3">
      <c r="A147" s="95"/>
      <c r="B147" s="107">
        <v>6</v>
      </c>
      <c r="C147" s="113" t="s">
        <v>110</v>
      </c>
      <c r="D147" s="109" t="s">
        <v>74</v>
      </c>
      <c r="E147" s="116">
        <f t="shared" ref="E147:E154" si="9">E108</f>
        <v>0</v>
      </c>
      <c r="F147" s="111"/>
      <c r="G147" s="114">
        <f>G146+G145</f>
        <v>41477.692204301071</v>
      </c>
    </row>
    <row r="148" spans="1:12" x14ac:dyDescent="0.3">
      <c r="A148" s="95"/>
      <c r="B148" s="107">
        <v>7</v>
      </c>
      <c r="C148" s="108" t="s">
        <v>111</v>
      </c>
      <c r="D148" s="109" t="s">
        <v>112</v>
      </c>
      <c r="E148" s="116">
        <f t="shared" si="9"/>
        <v>7.0000000000000007E-2</v>
      </c>
      <c r="F148" s="111"/>
      <c r="G148" s="112">
        <f>+G147*E148</f>
        <v>2903.4384543010751</v>
      </c>
    </row>
    <row r="149" spans="1:12" x14ac:dyDescent="0.3">
      <c r="A149" s="95"/>
      <c r="B149" s="107">
        <v>8</v>
      </c>
      <c r="C149" s="108" t="s">
        <v>113</v>
      </c>
      <c r="D149" s="109" t="s">
        <v>114</v>
      </c>
      <c r="E149" s="116">
        <f t="shared" si="9"/>
        <v>0.05</v>
      </c>
      <c r="F149" s="111"/>
      <c r="G149" s="112">
        <f>G147*E149</f>
        <v>2073.8846102150537</v>
      </c>
    </row>
    <row r="150" spans="1:12" x14ac:dyDescent="0.3">
      <c r="A150" s="95"/>
      <c r="B150" s="107">
        <v>9</v>
      </c>
      <c r="C150" s="108" t="s">
        <v>75</v>
      </c>
      <c r="D150" s="109" t="s">
        <v>115</v>
      </c>
      <c r="E150" s="116">
        <f t="shared" si="9"/>
        <v>0.2</v>
      </c>
      <c r="F150" s="111"/>
      <c r="G150" s="112">
        <f>G147*E150</f>
        <v>8295.5384408602149</v>
      </c>
    </row>
    <row r="151" spans="1:12" x14ac:dyDescent="0.3">
      <c r="A151" s="95"/>
      <c r="B151" s="107">
        <v>10</v>
      </c>
      <c r="C151" s="113" t="s">
        <v>76</v>
      </c>
      <c r="D151" s="109" t="s">
        <v>116</v>
      </c>
      <c r="E151" s="116">
        <f t="shared" si="9"/>
        <v>0</v>
      </c>
      <c r="F151" s="111"/>
      <c r="G151" s="114">
        <f>G150+G149+G148+G147</f>
        <v>54750.553709677413</v>
      </c>
    </row>
    <row r="152" spans="1:12" x14ac:dyDescent="0.3">
      <c r="A152" s="95"/>
      <c r="B152" s="107">
        <v>11</v>
      </c>
      <c r="C152" s="113" t="s">
        <v>117</v>
      </c>
      <c r="D152" s="109" t="s">
        <v>118</v>
      </c>
      <c r="E152" s="116">
        <f t="shared" si="9"/>
        <v>0</v>
      </c>
      <c r="F152" s="111"/>
      <c r="G152" s="112">
        <f>G151-G143</f>
        <v>54750.553709677413</v>
      </c>
    </row>
    <row r="153" spans="1:12" x14ac:dyDescent="0.3">
      <c r="A153" s="95"/>
      <c r="B153" s="107">
        <v>12</v>
      </c>
      <c r="C153" s="108" t="s">
        <v>119</v>
      </c>
      <c r="D153" s="109" t="s">
        <v>77</v>
      </c>
      <c r="E153" s="116">
        <f t="shared" si="9"/>
        <v>0.1</v>
      </c>
      <c r="F153" s="111"/>
      <c r="G153" s="112">
        <f>G151*E153</f>
        <v>5475.0553709677415</v>
      </c>
    </row>
    <row r="154" spans="1:12" ht="10.8" thickBot="1" x14ac:dyDescent="0.35">
      <c r="A154" s="95"/>
      <c r="B154" s="117">
        <v>13</v>
      </c>
      <c r="C154" s="88" t="s">
        <v>78</v>
      </c>
      <c r="D154" s="89"/>
      <c r="E154" s="118">
        <f t="shared" si="9"/>
        <v>0</v>
      </c>
      <c r="F154" s="91"/>
      <c r="G154" s="119">
        <f>G150*E154</f>
        <v>0</v>
      </c>
    </row>
    <row r="155" spans="1:12" ht="10.8" thickBot="1" x14ac:dyDescent="0.35">
      <c r="A155" s="95"/>
      <c r="B155" s="120"/>
      <c r="C155" s="121"/>
      <c r="D155" s="120"/>
      <c r="E155" s="122"/>
      <c r="F155" s="123"/>
      <c r="G155" s="123"/>
    </row>
    <row r="156" spans="1:12" ht="21" customHeight="1" thickBot="1" x14ac:dyDescent="0.35">
      <c r="A156" s="95"/>
      <c r="B156" s="228">
        <v>16</v>
      </c>
      <c r="C156" s="229" t="s">
        <v>124</v>
      </c>
      <c r="D156" s="230" t="s">
        <v>121</v>
      </c>
      <c r="E156" s="231"/>
      <c r="F156" s="232"/>
      <c r="G156" s="233">
        <f>G152+G153+G154</f>
        <v>60225.609080645154</v>
      </c>
      <c r="J156" s="93">
        <f>J117</f>
        <v>1200</v>
      </c>
      <c r="K156" s="315">
        <f>G156/J156</f>
        <v>50.188007567204295</v>
      </c>
      <c r="L156" s="93"/>
    </row>
    <row r="157" spans="1:12" ht="11.4" customHeight="1" thickBot="1" x14ac:dyDescent="0.35">
      <c r="A157" s="95"/>
      <c r="B157" s="120"/>
      <c r="C157" s="121"/>
      <c r="D157" s="120"/>
      <c r="E157" s="311"/>
      <c r="F157" s="123"/>
      <c r="G157" s="312"/>
      <c r="J157" s="93"/>
      <c r="L157" s="93"/>
    </row>
    <row r="158" spans="1:12" ht="10.8" thickBot="1" x14ac:dyDescent="0.35">
      <c r="A158" s="69"/>
      <c r="B158" s="70" t="s">
        <v>55</v>
      </c>
      <c r="C158" s="70" t="s">
        <v>269</v>
      </c>
      <c r="D158" s="71" t="s">
        <v>100</v>
      </c>
      <c r="E158" s="72"/>
      <c r="F158" s="72"/>
      <c r="G158" s="73"/>
    </row>
    <row r="159" spans="1:12" x14ac:dyDescent="0.3">
      <c r="A159" s="74"/>
      <c r="B159" s="128" t="s">
        <v>56</v>
      </c>
      <c r="C159" s="129" t="s">
        <v>101</v>
      </c>
      <c r="D159" s="130" t="s">
        <v>102</v>
      </c>
      <c r="E159" s="131"/>
      <c r="F159" s="132">
        <f>F42</f>
        <v>14677.888888888889</v>
      </c>
      <c r="G159" s="133">
        <f>E159*F159</f>
        <v>0</v>
      </c>
    </row>
    <row r="160" spans="1:12" x14ac:dyDescent="0.3">
      <c r="A160" s="74"/>
      <c r="B160" s="81" t="s">
        <v>56</v>
      </c>
      <c r="C160" s="82" t="s">
        <v>103</v>
      </c>
      <c r="D160" s="83" t="s">
        <v>102</v>
      </c>
      <c r="E160" s="84">
        <f>Hoja8!S5</f>
        <v>6.7650000000000006</v>
      </c>
      <c r="F160" s="132">
        <f>F43</f>
        <v>11344.555555555555</v>
      </c>
      <c r="G160" s="86">
        <f>E160*F160</f>
        <v>76745.918333333335</v>
      </c>
    </row>
    <row r="161" spans="1:18" x14ac:dyDescent="0.3">
      <c r="A161" s="74"/>
      <c r="B161" s="81" t="s">
        <v>56</v>
      </c>
      <c r="C161" s="82" t="s">
        <v>104</v>
      </c>
      <c r="D161" s="83" t="s">
        <v>102</v>
      </c>
      <c r="E161" s="84"/>
      <c r="F161" s="132">
        <f>F44</f>
        <v>10789</v>
      </c>
      <c r="G161" s="86">
        <f>E161*F161</f>
        <v>0</v>
      </c>
    </row>
    <row r="162" spans="1:18" x14ac:dyDescent="0.3">
      <c r="A162" s="74"/>
      <c r="B162" s="81" t="s">
        <v>56</v>
      </c>
      <c r="C162" s="82" t="s">
        <v>57</v>
      </c>
      <c r="D162" s="83" t="s">
        <v>102</v>
      </c>
      <c r="E162" s="84">
        <f>Hoja8!T5</f>
        <v>12.430000000000001</v>
      </c>
      <c r="F162" s="132">
        <f>F45</f>
        <v>9656.8888888888887</v>
      </c>
      <c r="G162" s="86">
        <f>E162*F162</f>
        <v>120035.1288888889</v>
      </c>
    </row>
    <row r="163" spans="1:18" x14ac:dyDescent="0.3">
      <c r="A163" s="74"/>
      <c r="B163" s="81" t="s">
        <v>56</v>
      </c>
      <c r="C163" s="82" t="s">
        <v>105</v>
      </c>
      <c r="D163" s="83" t="s">
        <v>102</v>
      </c>
      <c r="E163" s="84"/>
      <c r="F163" s="132">
        <f>F46</f>
        <v>9656.8888888888887</v>
      </c>
      <c r="G163" s="86">
        <f>E163*F163</f>
        <v>0</v>
      </c>
    </row>
    <row r="164" spans="1:18" ht="10.8" thickBot="1" x14ac:dyDescent="0.35">
      <c r="A164" s="74"/>
      <c r="B164" s="87" t="s">
        <v>106</v>
      </c>
      <c r="C164" s="88"/>
      <c r="D164" s="89"/>
      <c r="E164" s="90"/>
      <c r="F164" s="91"/>
      <c r="G164" s="92">
        <f>SUM(G159:G163)</f>
        <v>196781.04722222223</v>
      </c>
      <c r="L164" s="93"/>
    </row>
    <row r="165" spans="1:18" x14ac:dyDescent="0.3">
      <c r="A165" s="74"/>
      <c r="B165" s="75" t="s">
        <v>58</v>
      </c>
      <c r="C165" s="52" t="s">
        <v>246</v>
      </c>
      <c r="D165" s="53" t="s">
        <v>247</v>
      </c>
      <c r="E165" s="54">
        <f>Hoja8!N5</f>
        <v>6.6000000000000003E-2</v>
      </c>
      <c r="F165" s="55">
        <v>1807030</v>
      </c>
      <c r="G165" s="80">
        <f t="shared" ref="G165:G175" si="10">E165*F165</f>
        <v>119263.98000000001</v>
      </c>
      <c r="O165" s="56">
        <f>N165/12</f>
        <v>0</v>
      </c>
      <c r="P165" s="56">
        <v>0.61699999999999999</v>
      </c>
      <c r="Q165" s="56">
        <f>O165/P165</f>
        <v>0</v>
      </c>
      <c r="R165" s="56">
        <f>Q165*P165/1</f>
        <v>0</v>
      </c>
    </row>
    <row r="166" spans="1:18" x14ac:dyDescent="0.3">
      <c r="A166" s="74"/>
      <c r="B166" s="81" t="s">
        <v>58</v>
      </c>
      <c r="C166" s="52" t="s">
        <v>248</v>
      </c>
      <c r="D166" s="53" t="s">
        <v>60</v>
      </c>
      <c r="E166" s="54">
        <f>Hoja8!O5</f>
        <v>0.27500000000000002</v>
      </c>
      <c r="F166" s="55">
        <v>7500</v>
      </c>
      <c r="G166" s="86">
        <f t="shared" si="10"/>
        <v>2062.5</v>
      </c>
      <c r="O166" s="56">
        <f>N166/12</f>
        <v>0</v>
      </c>
      <c r="P166" s="56">
        <v>0.222</v>
      </c>
      <c r="Q166" s="56">
        <f>O166/P166</f>
        <v>0</v>
      </c>
    </row>
    <row r="167" spans="1:18" x14ac:dyDescent="0.3">
      <c r="A167" s="74"/>
      <c r="B167" s="81" t="s">
        <v>58</v>
      </c>
      <c r="C167" s="52" t="s">
        <v>249</v>
      </c>
      <c r="D167" s="53" t="s">
        <v>24</v>
      </c>
      <c r="E167" s="54"/>
      <c r="F167" s="55">
        <f>14500/2.88*3</f>
        <v>15104.166666666668</v>
      </c>
      <c r="G167" s="86">
        <f t="shared" si="10"/>
        <v>0</v>
      </c>
    </row>
    <row r="168" spans="1:18" x14ac:dyDescent="0.3">
      <c r="A168" s="74"/>
      <c r="B168" s="81" t="s">
        <v>58</v>
      </c>
      <c r="C168" s="52" t="s">
        <v>250</v>
      </c>
      <c r="D168" s="53" t="s">
        <v>24</v>
      </c>
      <c r="E168" s="54"/>
      <c r="F168" s="55">
        <f>12500*3</f>
        <v>37500</v>
      </c>
      <c r="G168" s="86">
        <f t="shared" si="10"/>
        <v>0</v>
      </c>
    </row>
    <row r="169" spans="1:18" x14ac:dyDescent="0.3">
      <c r="A169" s="74"/>
      <c r="B169" s="81" t="s">
        <v>58</v>
      </c>
      <c r="C169" s="52" t="s">
        <v>30</v>
      </c>
      <c r="D169" s="53" t="s">
        <v>60</v>
      </c>
      <c r="E169" s="54"/>
      <c r="F169" s="55">
        <v>7500</v>
      </c>
      <c r="G169" s="86">
        <f t="shared" si="10"/>
        <v>0</v>
      </c>
    </row>
    <row r="170" spans="1:18" x14ac:dyDescent="0.3">
      <c r="A170" s="74"/>
      <c r="B170" s="81" t="s">
        <v>58</v>
      </c>
      <c r="C170" s="52" t="s">
        <v>251</v>
      </c>
      <c r="D170" s="53" t="s">
        <v>60</v>
      </c>
      <c r="E170" s="54">
        <v>300</v>
      </c>
      <c r="F170" s="55">
        <f>13000/50</f>
        <v>260</v>
      </c>
      <c r="G170" s="86">
        <f t="shared" si="10"/>
        <v>78000</v>
      </c>
    </row>
    <row r="171" spans="1:18" x14ac:dyDescent="0.3">
      <c r="A171" s="74"/>
      <c r="B171" s="81" t="s">
        <v>58</v>
      </c>
      <c r="C171" s="52" t="s">
        <v>252</v>
      </c>
      <c r="D171" s="53" t="s">
        <v>36</v>
      </c>
      <c r="E171" s="54">
        <v>0.65</v>
      </c>
      <c r="F171" s="55">
        <v>50000</v>
      </c>
      <c r="G171" s="86">
        <f t="shared" si="10"/>
        <v>32500</v>
      </c>
    </row>
    <row r="172" spans="1:18" x14ac:dyDescent="0.3">
      <c r="A172" s="74"/>
      <c r="B172" s="81" t="s">
        <v>58</v>
      </c>
      <c r="C172" s="52" t="s">
        <v>61</v>
      </c>
      <c r="D172" s="53" t="s">
        <v>36</v>
      </c>
      <c r="E172" s="54">
        <v>0.65</v>
      </c>
      <c r="F172" s="55">
        <v>50000</v>
      </c>
      <c r="G172" s="86">
        <f t="shared" si="10"/>
        <v>32500</v>
      </c>
      <c r="J172" s="93"/>
    </row>
    <row r="173" spans="1:18" x14ac:dyDescent="0.3">
      <c r="A173" s="74"/>
      <c r="B173" s="81" t="s">
        <v>58</v>
      </c>
      <c r="C173" s="82"/>
      <c r="D173" s="83"/>
      <c r="E173" s="84"/>
      <c r="F173" s="85"/>
      <c r="G173" s="86">
        <f t="shared" si="10"/>
        <v>0</v>
      </c>
    </row>
    <row r="174" spans="1:18" x14ac:dyDescent="0.3">
      <c r="A174" s="74"/>
      <c r="B174" s="81" t="s">
        <v>58</v>
      </c>
      <c r="C174" s="82"/>
      <c r="D174" s="83"/>
      <c r="E174" s="84"/>
      <c r="F174" s="85"/>
      <c r="G174" s="86">
        <f t="shared" si="10"/>
        <v>0</v>
      </c>
    </row>
    <row r="175" spans="1:18" x14ac:dyDescent="0.3">
      <c r="A175" s="74"/>
      <c r="B175" s="81" t="s">
        <v>58</v>
      </c>
      <c r="C175" s="82"/>
      <c r="D175" s="83"/>
      <c r="E175" s="84"/>
      <c r="F175" s="85"/>
      <c r="G175" s="86">
        <f t="shared" si="10"/>
        <v>0</v>
      </c>
    </row>
    <row r="176" spans="1:18" x14ac:dyDescent="0.3">
      <c r="A176" s="74"/>
      <c r="B176" s="81" t="s">
        <v>58</v>
      </c>
      <c r="C176" s="82"/>
      <c r="D176" s="83"/>
      <c r="E176" s="84"/>
      <c r="F176" s="85"/>
      <c r="G176" s="86"/>
    </row>
    <row r="177" spans="1:12" x14ac:dyDescent="0.3">
      <c r="A177" s="74"/>
      <c r="B177" s="81" t="s">
        <v>58</v>
      </c>
      <c r="C177" s="82"/>
      <c r="D177" s="83"/>
      <c r="E177" s="84"/>
      <c r="F177" s="85"/>
      <c r="G177" s="86"/>
      <c r="I177" s="93"/>
    </row>
    <row r="178" spans="1:12" x14ac:dyDescent="0.3">
      <c r="A178" s="74"/>
      <c r="B178" s="81" t="s">
        <v>58</v>
      </c>
      <c r="C178" s="82"/>
      <c r="D178" s="83"/>
      <c r="E178" s="84"/>
      <c r="F178" s="85"/>
      <c r="G178" s="86"/>
    </row>
    <row r="179" spans="1:12" ht="10.8" thickBot="1" x14ac:dyDescent="0.35">
      <c r="A179" s="95"/>
      <c r="B179" s="87" t="s">
        <v>107</v>
      </c>
      <c r="C179" s="96"/>
      <c r="D179" s="89"/>
      <c r="E179" s="90"/>
      <c r="F179" s="91"/>
      <c r="G179" s="92">
        <f>SUM(G165:G178)</f>
        <v>264326.48</v>
      </c>
    </row>
    <row r="180" spans="1:12" ht="10.8" thickBot="1" x14ac:dyDescent="0.35">
      <c r="A180" s="95"/>
      <c r="B180" s="95"/>
      <c r="C180" s="97"/>
      <c r="D180" s="98"/>
      <c r="E180" s="99"/>
      <c r="F180" s="100"/>
      <c r="G180" s="100"/>
    </row>
    <row r="181" spans="1:12" x14ac:dyDescent="0.3">
      <c r="A181" s="95"/>
      <c r="B181" s="101">
        <v>1</v>
      </c>
      <c r="C181" s="102" t="s">
        <v>68</v>
      </c>
      <c r="D181" s="103" t="s">
        <v>67</v>
      </c>
      <c r="E181" s="104"/>
      <c r="F181" s="105"/>
      <c r="G181" s="106">
        <f>G164</f>
        <v>196781.04722222223</v>
      </c>
    </row>
    <row r="182" spans="1:12" x14ac:dyDescent="0.3">
      <c r="A182" s="95"/>
      <c r="B182" s="107">
        <v>2</v>
      </c>
      <c r="C182" s="108" t="s">
        <v>66</v>
      </c>
      <c r="D182" s="109" t="s">
        <v>69</v>
      </c>
      <c r="E182" s="110"/>
      <c r="F182" s="111"/>
      <c r="G182" s="112">
        <f>G179</f>
        <v>264326.48</v>
      </c>
    </row>
    <row r="183" spans="1:12" x14ac:dyDescent="0.3">
      <c r="A183" s="95"/>
      <c r="B183" s="107">
        <v>3</v>
      </c>
      <c r="C183" s="108" t="s">
        <v>70</v>
      </c>
      <c r="D183" s="109" t="s">
        <v>71</v>
      </c>
      <c r="E183" s="110"/>
      <c r="F183" s="111"/>
      <c r="G183" s="112"/>
    </row>
    <row r="184" spans="1:12" x14ac:dyDescent="0.3">
      <c r="A184" s="95"/>
      <c r="B184" s="107">
        <v>4</v>
      </c>
      <c r="C184" s="113" t="s">
        <v>72</v>
      </c>
      <c r="D184" s="109" t="s">
        <v>73</v>
      </c>
      <c r="E184" s="110"/>
      <c r="F184" s="111"/>
      <c r="G184" s="114">
        <f>SUM(G181:G183)</f>
        <v>461107.52722222218</v>
      </c>
      <c r="I184" s="93">
        <f>G184*2</f>
        <v>922215.05444444437</v>
      </c>
    </row>
    <row r="185" spans="1:12" x14ac:dyDescent="0.3">
      <c r="A185" s="95"/>
      <c r="B185" s="107">
        <v>5</v>
      </c>
      <c r="C185" s="108" t="s">
        <v>108</v>
      </c>
      <c r="D185" s="109" t="s">
        <v>109</v>
      </c>
      <c r="E185" s="116">
        <f t="shared" ref="E185:E193" si="11">E68</f>
        <v>0.25</v>
      </c>
      <c r="F185" s="111"/>
      <c r="G185" s="112">
        <f>+G184*E185</f>
        <v>115276.88180555555</v>
      </c>
    </row>
    <row r="186" spans="1:12" x14ac:dyDescent="0.3">
      <c r="A186" s="95"/>
      <c r="B186" s="107">
        <v>6</v>
      </c>
      <c r="C186" s="113" t="s">
        <v>110</v>
      </c>
      <c r="D186" s="109" t="s">
        <v>74</v>
      </c>
      <c r="E186" s="116">
        <f t="shared" si="11"/>
        <v>0</v>
      </c>
      <c r="F186" s="111"/>
      <c r="G186" s="114">
        <f>G185+G184</f>
        <v>576384.40902777773</v>
      </c>
    </row>
    <row r="187" spans="1:12" x14ac:dyDescent="0.3">
      <c r="A187" s="95"/>
      <c r="B187" s="107">
        <v>7</v>
      </c>
      <c r="C187" s="108" t="s">
        <v>111</v>
      </c>
      <c r="D187" s="109" t="s">
        <v>112</v>
      </c>
      <c r="E187" s="116">
        <f t="shared" si="11"/>
        <v>7.0000000000000007E-2</v>
      </c>
      <c r="F187" s="111"/>
      <c r="G187" s="112">
        <f>+G186*E187</f>
        <v>40346.908631944447</v>
      </c>
    </row>
    <row r="188" spans="1:12" x14ac:dyDescent="0.3">
      <c r="A188" s="95"/>
      <c r="B188" s="107">
        <v>8</v>
      </c>
      <c r="C188" s="108" t="s">
        <v>113</v>
      </c>
      <c r="D188" s="109" t="s">
        <v>114</v>
      </c>
      <c r="E188" s="116">
        <f t="shared" si="11"/>
        <v>0.05</v>
      </c>
      <c r="F188" s="111"/>
      <c r="G188" s="112">
        <f>G186*E188</f>
        <v>28819.220451388886</v>
      </c>
    </row>
    <row r="189" spans="1:12" x14ac:dyDescent="0.3">
      <c r="A189" s="95"/>
      <c r="B189" s="107">
        <v>9</v>
      </c>
      <c r="C189" s="108" t="s">
        <v>75</v>
      </c>
      <c r="D189" s="109" t="s">
        <v>115</v>
      </c>
      <c r="E189" s="116">
        <f t="shared" si="11"/>
        <v>0.2</v>
      </c>
      <c r="F189" s="111"/>
      <c r="G189" s="112">
        <f>G186*E189</f>
        <v>115276.88180555555</v>
      </c>
    </row>
    <row r="190" spans="1:12" x14ac:dyDescent="0.3">
      <c r="A190" s="95"/>
      <c r="B190" s="107">
        <v>10</v>
      </c>
      <c r="C190" s="113" t="s">
        <v>76</v>
      </c>
      <c r="D190" s="109" t="s">
        <v>116</v>
      </c>
      <c r="E190" s="116">
        <f t="shared" si="11"/>
        <v>0</v>
      </c>
      <c r="F190" s="111"/>
      <c r="G190" s="114">
        <f>G189+G188+G187+G186</f>
        <v>760827.41991666658</v>
      </c>
      <c r="L190" s="93"/>
    </row>
    <row r="191" spans="1:12" x14ac:dyDescent="0.3">
      <c r="A191" s="95"/>
      <c r="B191" s="107">
        <v>11</v>
      </c>
      <c r="C191" s="113" t="s">
        <v>117</v>
      </c>
      <c r="D191" s="109" t="s">
        <v>118</v>
      </c>
      <c r="E191" s="116">
        <f t="shared" si="11"/>
        <v>0</v>
      </c>
      <c r="F191" s="111"/>
      <c r="G191" s="112">
        <f>G190-G182</f>
        <v>496500.9399166666</v>
      </c>
    </row>
    <row r="192" spans="1:12" x14ac:dyDescent="0.3">
      <c r="A192" s="95"/>
      <c r="B192" s="107">
        <v>12</v>
      </c>
      <c r="C192" s="108" t="s">
        <v>119</v>
      </c>
      <c r="D192" s="109" t="s">
        <v>77</v>
      </c>
      <c r="E192" s="116">
        <f t="shared" si="11"/>
        <v>0.1</v>
      </c>
      <c r="F192" s="111"/>
      <c r="G192" s="112">
        <f>G190*E192</f>
        <v>76082.741991666655</v>
      </c>
    </row>
    <row r="193" spans="1:12" ht="10.8" thickBot="1" x14ac:dyDescent="0.35">
      <c r="A193" s="95"/>
      <c r="B193" s="117">
        <v>13</v>
      </c>
      <c r="C193" s="88" t="s">
        <v>78</v>
      </c>
      <c r="D193" s="89"/>
      <c r="E193" s="118">
        <f t="shared" si="11"/>
        <v>0</v>
      </c>
      <c r="F193" s="91"/>
      <c r="G193" s="119">
        <f>G189*E193</f>
        <v>0</v>
      </c>
    </row>
    <row r="194" spans="1:12" ht="10.8" thickBot="1" x14ac:dyDescent="0.35">
      <c r="A194" s="95"/>
      <c r="B194" s="120"/>
      <c r="C194" s="121"/>
      <c r="D194" s="120"/>
      <c r="E194" s="122"/>
      <c r="F194" s="123"/>
      <c r="G194" s="123"/>
    </row>
    <row r="195" spans="1:12" ht="21" customHeight="1" thickBot="1" x14ac:dyDescent="0.35">
      <c r="A195" s="95"/>
      <c r="B195" s="228">
        <v>16</v>
      </c>
      <c r="C195" s="229" t="s">
        <v>124</v>
      </c>
      <c r="D195" s="230" t="s">
        <v>121</v>
      </c>
      <c r="E195" s="231"/>
      <c r="F195" s="232"/>
      <c r="G195" s="233">
        <f>G191+G192+G193</f>
        <v>572583.68190833321</v>
      </c>
      <c r="J195" s="93">
        <f>J156</f>
        <v>1200</v>
      </c>
      <c r="K195" s="315">
        <f>G195/J195</f>
        <v>477.15306825694432</v>
      </c>
    </row>
    <row r="196" spans="1:12" ht="10.8" thickBot="1" x14ac:dyDescent="0.35"/>
    <row r="197" spans="1:12" ht="10.8" thickBot="1" x14ac:dyDescent="0.35">
      <c r="A197" s="69"/>
      <c r="B197" s="70" t="s">
        <v>55</v>
      </c>
      <c r="C197" s="70" t="s">
        <v>270</v>
      </c>
      <c r="D197" s="71" t="s">
        <v>100</v>
      </c>
      <c r="E197" s="72"/>
      <c r="F197" s="72"/>
      <c r="G197" s="73"/>
    </row>
    <row r="198" spans="1:12" x14ac:dyDescent="0.3">
      <c r="A198" s="74"/>
      <c r="B198" s="128" t="s">
        <v>56</v>
      </c>
      <c r="C198" s="129" t="s">
        <v>101</v>
      </c>
      <c r="D198" s="130" t="s">
        <v>102</v>
      </c>
      <c r="E198" s="131"/>
      <c r="F198" s="132">
        <f>F159</f>
        <v>14677.888888888889</v>
      </c>
      <c r="G198" s="133">
        <f>E198*F198</f>
        <v>0</v>
      </c>
    </row>
    <row r="199" spans="1:12" x14ac:dyDescent="0.3">
      <c r="A199" s="74"/>
      <c r="B199" s="81" t="s">
        <v>56</v>
      </c>
      <c r="C199" s="82" t="s">
        <v>103</v>
      </c>
      <c r="D199" s="83" t="s">
        <v>102</v>
      </c>
      <c r="E199" s="84">
        <f>Hoja8!S6</f>
        <v>15.785</v>
      </c>
      <c r="F199" s="132">
        <f t="shared" ref="F199:F202" si="12">F160</f>
        <v>11344.555555555555</v>
      </c>
      <c r="G199" s="86">
        <f>E199*F199</f>
        <v>179073.80944444443</v>
      </c>
    </row>
    <row r="200" spans="1:12" x14ac:dyDescent="0.3">
      <c r="A200" s="74"/>
      <c r="B200" s="81" t="s">
        <v>56</v>
      </c>
      <c r="C200" s="82" t="s">
        <v>104</v>
      </c>
      <c r="D200" s="83" t="s">
        <v>102</v>
      </c>
      <c r="E200" s="84"/>
      <c r="F200" s="132">
        <f t="shared" si="12"/>
        <v>10789</v>
      </c>
      <c r="G200" s="86">
        <f>E200*F200</f>
        <v>0</v>
      </c>
    </row>
    <row r="201" spans="1:12" x14ac:dyDescent="0.3">
      <c r="A201" s="74"/>
      <c r="B201" s="81" t="s">
        <v>56</v>
      </c>
      <c r="C201" s="82" t="s">
        <v>57</v>
      </c>
      <c r="D201" s="83" t="s">
        <v>102</v>
      </c>
      <c r="E201" s="84">
        <f>Hoja8!T6</f>
        <v>1.881</v>
      </c>
      <c r="F201" s="132">
        <f t="shared" si="12"/>
        <v>9656.8888888888887</v>
      </c>
      <c r="G201" s="86">
        <f>E201*F201</f>
        <v>18164.608</v>
      </c>
    </row>
    <row r="202" spans="1:12" x14ac:dyDescent="0.3">
      <c r="A202" s="74"/>
      <c r="B202" s="81" t="s">
        <v>56</v>
      </c>
      <c r="C202" s="82" t="s">
        <v>105</v>
      </c>
      <c r="D202" s="83" t="s">
        <v>102</v>
      </c>
      <c r="E202" s="84"/>
      <c r="F202" s="132">
        <f t="shared" si="12"/>
        <v>9656.8888888888887</v>
      </c>
      <c r="G202" s="86">
        <f>E202*F202</f>
        <v>0</v>
      </c>
    </row>
    <row r="203" spans="1:12" ht="10.8" thickBot="1" x14ac:dyDescent="0.35">
      <c r="A203" s="74"/>
      <c r="B203" s="87" t="s">
        <v>106</v>
      </c>
      <c r="C203" s="88"/>
      <c r="D203" s="89"/>
      <c r="E203" s="90"/>
      <c r="F203" s="91"/>
      <c r="G203" s="92">
        <f>SUM(G198:G202)</f>
        <v>197238.41744444444</v>
      </c>
      <c r="L203" s="93"/>
    </row>
    <row r="204" spans="1:12" x14ac:dyDescent="0.3">
      <c r="A204" s="74"/>
      <c r="B204" s="75" t="s">
        <v>58</v>
      </c>
      <c r="C204" s="52" t="s">
        <v>246</v>
      </c>
      <c r="D204" s="53" t="s">
        <v>247</v>
      </c>
      <c r="E204" s="54">
        <f>Hoja8!N6</f>
        <v>9.3500000000000014E-2</v>
      </c>
      <c r="F204" s="55">
        <f>F165</f>
        <v>1807030</v>
      </c>
      <c r="G204" s="80">
        <f t="shared" ref="G204:G214" si="13">E204*F204</f>
        <v>168957.30500000002</v>
      </c>
    </row>
    <row r="205" spans="1:12" x14ac:dyDescent="0.3">
      <c r="A205" s="74"/>
      <c r="B205" s="81" t="s">
        <v>58</v>
      </c>
      <c r="C205" s="52" t="s">
        <v>248</v>
      </c>
      <c r="D205" s="53" t="s">
        <v>60</v>
      </c>
      <c r="E205" s="54">
        <f>Hoja8!P6</f>
        <v>2.75</v>
      </c>
      <c r="F205" s="55">
        <f>F166</f>
        <v>7500</v>
      </c>
      <c r="G205" s="86">
        <f t="shared" si="13"/>
        <v>20625</v>
      </c>
    </row>
    <row r="206" spans="1:12" x14ac:dyDescent="0.3">
      <c r="A206" s="74"/>
      <c r="B206" s="81" t="s">
        <v>58</v>
      </c>
      <c r="C206" s="52" t="s">
        <v>249</v>
      </c>
      <c r="D206" s="53" t="s">
        <v>24</v>
      </c>
      <c r="E206" s="54">
        <f>Hoja8!Q6</f>
        <v>0.39600000000000002</v>
      </c>
      <c r="F206" s="55">
        <f t="shared" ref="F206:F211" si="14">F167</f>
        <v>15104.166666666668</v>
      </c>
      <c r="G206" s="86">
        <f t="shared" si="13"/>
        <v>5981.2500000000009</v>
      </c>
    </row>
    <row r="207" spans="1:12" x14ac:dyDescent="0.3">
      <c r="A207" s="74"/>
      <c r="B207" s="81" t="s">
        <v>58</v>
      </c>
      <c r="C207" s="52" t="s">
        <v>250</v>
      </c>
      <c r="D207" s="53" t="s">
        <v>24</v>
      </c>
      <c r="E207" s="54">
        <v>0.36</v>
      </c>
      <c r="F207" s="55">
        <f t="shared" si="14"/>
        <v>37500</v>
      </c>
      <c r="G207" s="86">
        <f t="shared" si="13"/>
        <v>13500</v>
      </c>
    </row>
    <row r="208" spans="1:12" x14ac:dyDescent="0.3">
      <c r="A208" s="74"/>
      <c r="B208" s="81" t="s">
        <v>58</v>
      </c>
      <c r="C208" s="52" t="s">
        <v>30</v>
      </c>
      <c r="D208" s="53" t="s">
        <v>60</v>
      </c>
      <c r="E208" s="54">
        <f>Hoja8!R6</f>
        <v>2.2000000000000002</v>
      </c>
      <c r="F208" s="55">
        <f t="shared" si="14"/>
        <v>7500</v>
      </c>
      <c r="G208" s="86">
        <f t="shared" si="13"/>
        <v>16500</v>
      </c>
    </row>
    <row r="209" spans="1:9" x14ac:dyDescent="0.3">
      <c r="A209" s="74"/>
      <c r="B209" s="81" t="s">
        <v>58</v>
      </c>
      <c r="C209" s="52" t="s">
        <v>251</v>
      </c>
      <c r="D209" s="53" t="s">
        <v>60</v>
      </c>
      <c r="E209" s="54">
        <v>300</v>
      </c>
      <c r="F209" s="55">
        <f t="shared" si="14"/>
        <v>260</v>
      </c>
      <c r="G209" s="86">
        <f t="shared" si="13"/>
        <v>78000</v>
      </c>
    </row>
    <row r="210" spans="1:9" x14ac:dyDescent="0.3">
      <c r="A210" s="74"/>
      <c r="B210" s="81" t="s">
        <v>58</v>
      </c>
      <c r="C210" s="52" t="s">
        <v>252</v>
      </c>
      <c r="D210" s="53" t="s">
        <v>36</v>
      </c>
      <c r="E210" s="54">
        <v>0.65</v>
      </c>
      <c r="F210" s="55">
        <f t="shared" si="14"/>
        <v>50000</v>
      </c>
      <c r="G210" s="86">
        <f t="shared" si="13"/>
        <v>32500</v>
      </c>
    </row>
    <row r="211" spans="1:9" x14ac:dyDescent="0.3">
      <c r="A211" s="74"/>
      <c r="B211" s="81" t="s">
        <v>58</v>
      </c>
      <c r="C211" s="52" t="s">
        <v>61</v>
      </c>
      <c r="D211" s="53" t="s">
        <v>36</v>
      </c>
      <c r="E211" s="54">
        <v>0.65</v>
      </c>
      <c r="F211" s="55">
        <f t="shared" si="14"/>
        <v>50000</v>
      </c>
      <c r="G211" s="86">
        <f t="shared" si="13"/>
        <v>32500</v>
      </c>
    </row>
    <row r="212" spans="1:9" x14ac:dyDescent="0.3">
      <c r="A212" s="74"/>
      <c r="B212" s="81" t="s">
        <v>58</v>
      </c>
      <c r="C212" s="82"/>
      <c r="D212" s="83"/>
      <c r="E212" s="84"/>
      <c r="F212" s="85"/>
      <c r="G212" s="86">
        <f t="shared" si="13"/>
        <v>0</v>
      </c>
    </row>
    <row r="213" spans="1:9" x14ac:dyDescent="0.3">
      <c r="A213" s="74"/>
      <c r="B213" s="81" t="s">
        <v>58</v>
      </c>
      <c r="C213" s="82"/>
      <c r="D213" s="83"/>
      <c r="E213" s="84"/>
      <c r="F213" s="85"/>
      <c r="G213" s="86">
        <f t="shared" si="13"/>
        <v>0</v>
      </c>
    </row>
    <row r="214" spans="1:9" x14ac:dyDescent="0.3">
      <c r="A214" s="74"/>
      <c r="B214" s="81" t="s">
        <v>58</v>
      </c>
      <c r="C214" s="82"/>
      <c r="D214" s="83"/>
      <c r="E214" s="84"/>
      <c r="F214" s="85"/>
      <c r="G214" s="86">
        <f t="shared" si="13"/>
        <v>0</v>
      </c>
    </row>
    <row r="215" spans="1:9" x14ac:dyDescent="0.3">
      <c r="A215" s="74"/>
      <c r="B215" s="81" t="s">
        <v>58</v>
      </c>
      <c r="C215" s="82"/>
      <c r="D215" s="83"/>
      <c r="E215" s="84"/>
      <c r="F215" s="85"/>
      <c r="G215" s="86"/>
    </row>
    <row r="216" spans="1:9" x14ac:dyDescent="0.3">
      <c r="A216" s="74"/>
      <c r="B216" s="81" t="s">
        <v>58</v>
      </c>
      <c r="C216" s="82"/>
      <c r="D216" s="83"/>
      <c r="E216" s="84"/>
      <c r="F216" s="85"/>
      <c r="G216" s="86"/>
    </row>
    <row r="217" spans="1:9" x14ac:dyDescent="0.3">
      <c r="A217" s="74"/>
      <c r="B217" s="81" t="s">
        <v>58</v>
      </c>
      <c r="C217" s="82"/>
      <c r="D217" s="83"/>
      <c r="E217" s="84"/>
      <c r="F217" s="85"/>
      <c r="G217" s="86"/>
    </row>
    <row r="218" spans="1:9" ht="10.8" thickBot="1" x14ac:dyDescent="0.35">
      <c r="A218" s="95"/>
      <c r="B218" s="87" t="s">
        <v>107</v>
      </c>
      <c r="C218" s="96"/>
      <c r="D218" s="89"/>
      <c r="E218" s="90"/>
      <c r="F218" s="91"/>
      <c r="G218" s="92">
        <f>SUM(G204:G217)</f>
        <v>368563.55500000005</v>
      </c>
    </row>
    <row r="219" spans="1:9" ht="10.8" thickBot="1" x14ac:dyDescent="0.35">
      <c r="A219" s="95"/>
      <c r="B219" s="95"/>
      <c r="C219" s="97"/>
      <c r="D219" s="98"/>
      <c r="E219" s="99"/>
      <c r="F219" s="100"/>
      <c r="G219" s="100"/>
    </row>
    <row r="220" spans="1:9" x14ac:dyDescent="0.3">
      <c r="A220" s="95"/>
      <c r="B220" s="101">
        <v>1</v>
      </c>
      <c r="C220" s="102" t="s">
        <v>68</v>
      </c>
      <c r="D220" s="103" t="s">
        <v>67</v>
      </c>
      <c r="E220" s="104"/>
      <c r="F220" s="105"/>
      <c r="G220" s="106">
        <f>G203</f>
        <v>197238.41744444444</v>
      </c>
    </row>
    <row r="221" spans="1:9" x14ac:dyDescent="0.3">
      <c r="A221" s="95"/>
      <c r="B221" s="107">
        <v>2</v>
      </c>
      <c r="C221" s="108" t="s">
        <v>66</v>
      </c>
      <c r="D221" s="109" t="s">
        <v>69</v>
      </c>
      <c r="E221" s="110"/>
      <c r="F221" s="111"/>
      <c r="G221" s="112">
        <f>G218</f>
        <v>368563.55500000005</v>
      </c>
    </row>
    <row r="222" spans="1:9" x14ac:dyDescent="0.3">
      <c r="A222" s="95"/>
      <c r="B222" s="107">
        <v>3</v>
      </c>
      <c r="C222" s="108" t="s">
        <v>70</v>
      </c>
      <c r="D222" s="109" t="s">
        <v>71</v>
      </c>
      <c r="E222" s="110"/>
      <c r="F222" s="111"/>
      <c r="G222" s="112"/>
    </row>
    <row r="223" spans="1:9" x14ac:dyDescent="0.3">
      <c r="A223" s="95"/>
      <c r="B223" s="107">
        <v>4</v>
      </c>
      <c r="C223" s="113" t="s">
        <v>72</v>
      </c>
      <c r="D223" s="109" t="s">
        <v>73</v>
      </c>
      <c r="E223" s="110"/>
      <c r="F223" s="111"/>
      <c r="G223" s="114">
        <f>SUM(G220:G222)</f>
        <v>565801.97244444443</v>
      </c>
      <c r="I223" s="93">
        <f>G223*2</f>
        <v>1131603.9448888889</v>
      </c>
    </row>
    <row r="224" spans="1:9" x14ac:dyDescent="0.3">
      <c r="A224" s="95"/>
      <c r="B224" s="107">
        <v>5</v>
      </c>
      <c r="C224" s="108" t="s">
        <v>108</v>
      </c>
      <c r="D224" s="109" t="s">
        <v>109</v>
      </c>
      <c r="E224" s="116">
        <f>E185</f>
        <v>0.25</v>
      </c>
      <c r="F224" s="111"/>
      <c r="G224" s="112">
        <f>+G223*E224</f>
        <v>141450.49311111111</v>
      </c>
    </row>
    <row r="225" spans="1:12" x14ac:dyDescent="0.3">
      <c r="A225" s="95"/>
      <c r="B225" s="107">
        <v>6</v>
      </c>
      <c r="C225" s="113" t="s">
        <v>110</v>
      </c>
      <c r="D225" s="109" t="s">
        <v>74</v>
      </c>
      <c r="E225" s="116">
        <f t="shared" ref="E225:E232" si="15">E186</f>
        <v>0</v>
      </c>
      <c r="F225" s="111"/>
      <c r="G225" s="114">
        <f>G224+G223</f>
        <v>707252.46555555554</v>
      </c>
    </row>
    <row r="226" spans="1:12" x14ac:dyDescent="0.3">
      <c r="A226" s="95"/>
      <c r="B226" s="107">
        <v>7</v>
      </c>
      <c r="C226" s="108" t="s">
        <v>111</v>
      </c>
      <c r="D226" s="109" t="s">
        <v>112</v>
      </c>
      <c r="E226" s="116">
        <f t="shared" si="15"/>
        <v>7.0000000000000007E-2</v>
      </c>
      <c r="F226" s="111"/>
      <c r="G226" s="112">
        <f>+G225*E226</f>
        <v>49507.67258888889</v>
      </c>
    </row>
    <row r="227" spans="1:12" x14ac:dyDescent="0.3">
      <c r="A227" s="95"/>
      <c r="B227" s="107">
        <v>8</v>
      </c>
      <c r="C227" s="108" t="s">
        <v>113</v>
      </c>
      <c r="D227" s="109" t="s">
        <v>114</v>
      </c>
      <c r="E227" s="116">
        <f t="shared" si="15"/>
        <v>0.05</v>
      </c>
      <c r="F227" s="111"/>
      <c r="G227" s="112">
        <f>G225*E227</f>
        <v>35362.623277777777</v>
      </c>
    </row>
    <row r="228" spans="1:12" x14ac:dyDescent="0.3">
      <c r="A228" s="95"/>
      <c r="B228" s="107">
        <v>9</v>
      </c>
      <c r="C228" s="108" t="s">
        <v>75</v>
      </c>
      <c r="D228" s="109" t="s">
        <v>115</v>
      </c>
      <c r="E228" s="116">
        <f t="shared" si="15"/>
        <v>0.2</v>
      </c>
      <c r="F228" s="111"/>
      <c r="G228" s="112">
        <f>G225*E228</f>
        <v>141450.49311111111</v>
      </c>
    </row>
    <row r="229" spans="1:12" x14ac:dyDescent="0.3">
      <c r="A229" s="95"/>
      <c r="B229" s="107">
        <v>10</v>
      </c>
      <c r="C229" s="113" t="s">
        <v>76</v>
      </c>
      <c r="D229" s="109" t="s">
        <v>116</v>
      </c>
      <c r="E229" s="116">
        <f t="shared" si="15"/>
        <v>0</v>
      </c>
      <c r="F229" s="111"/>
      <c r="G229" s="114">
        <f>G228+G227+G226+G225</f>
        <v>933573.25453333324</v>
      </c>
      <c r="L229" s="93"/>
    </row>
    <row r="230" spans="1:12" x14ac:dyDescent="0.3">
      <c r="A230" s="95"/>
      <c r="B230" s="107">
        <v>11</v>
      </c>
      <c r="C230" s="113" t="s">
        <v>117</v>
      </c>
      <c r="D230" s="109" t="s">
        <v>118</v>
      </c>
      <c r="E230" s="116">
        <f t="shared" si="15"/>
        <v>0</v>
      </c>
      <c r="F230" s="111"/>
      <c r="G230" s="112">
        <f>G229-G221</f>
        <v>565009.69953333319</v>
      </c>
    </row>
    <row r="231" spans="1:12" x14ac:dyDescent="0.3">
      <c r="A231" s="95"/>
      <c r="B231" s="107">
        <v>12</v>
      </c>
      <c r="C231" s="108" t="s">
        <v>119</v>
      </c>
      <c r="D231" s="109" t="s">
        <v>77</v>
      </c>
      <c r="E231" s="116">
        <f t="shared" si="15"/>
        <v>0.1</v>
      </c>
      <c r="F231" s="111"/>
      <c r="G231" s="112">
        <f>G229*E231</f>
        <v>93357.325453333324</v>
      </c>
    </row>
    <row r="232" spans="1:12" ht="10.8" thickBot="1" x14ac:dyDescent="0.35">
      <c r="A232" s="95"/>
      <c r="B232" s="117">
        <v>13</v>
      </c>
      <c r="C232" s="88" t="s">
        <v>78</v>
      </c>
      <c r="D232" s="89"/>
      <c r="E232" s="118">
        <f t="shared" si="15"/>
        <v>0</v>
      </c>
      <c r="F232" s="91"/>
      <c r="G232" s="119">
        <f>G228*E232</f>
        <v>0</v>
      </c>
    </row>
    <row r="233" spans="1:12" ht="10.8" thickBot="1" x14ac:dyDescent="0.35">
      <c r="A233" s="95"/>
      <c r="B233" s="120"/>
      <c r="C233" s="121"/>
      <c r="D233" s="120"/>
      <c r="E233" s="122"/>
      <c r="F233" s="123"/>
      <c r="G233" s="123"/>
    </row>
    <row r="234" spans="1:12" ht="18" customHeight="1" thickBot="1" x14ac:dyDescent="0.35">
      <c r="A234" s="95"/>
      <c r="B234" s="228">
        <v>16</v>
      </c>
      <c r="C234" s="229" t="s">
        <v>124</v>
      </c>
      <c r="D234" s="230" t="s">
        <v>121</v>
      </c>
      <c r="E234" s="231"/>
      <c r="F234" s="232"/>
      <c r="G234" s="233">
        <f>G230+G231+G232</f>
        <v>658367.02498666651</v>
      </c>
      <c r="I234" s="93"/>
      <c r="J234" s="93">
        <f>J195</f>
        <v>1200</v>
      </c>
      <c r="K234" s="315">
        <f>G234/J234</f>
        <v>548.63918748888875</v>
      </c>
    </row>
    <row r="235" spans="1:12" ht="10.8" thickBot="1" x14ac:dyDescent="0.35"/>
    <row r="236" spans="1:12" ht="10.8" thickBot="1" x14ac:dyDescent="0.35">
      <c r="A236" s="69"/>
      <c r="B236" s="70" t="s">
        <v>55</v>
      </c>
      <c r="C236" s="70" t="s">
        <v>271</v>
      </c>
      <c r="D236" s="71" t="s">
        <v>100</v>
      </c>
      <c r="E236" s="72"/>
      <c r="F236" s="72"/>
      <c r="G236" s="73"/>
    </row>
    <row r="237" spans="1:12" x14ac:dyDescent="0.3">
      <c r="A237" s="74"/>
      <c r="B237" s="128" t="s">
        <v>56</v>
      </c>
      <c r="C237" s="129" t="s">
        <v>101</v>
      </c>
      <c r="D237" s="130" t="s">
        <v>102</v>
      </c>
      <c r="E237" s="131"/>
      <c r="F237" s="132">
        <f>F198</f>
        <v>14677.888888888889</v>
      </c>
      <c r="G237" s="133">
        <f>E237*F237</f>
        <v>0</v>
      </c>
    </row>
    <row r="238" spans="1:12" x14ac:dyDescent="0.3">
      <c r="A238" s="74"/>
      <c r="B238" s="81" t="s">
        <v>56</v>
      </c>
      <c r="C238" s="82" t="s">
        <v>103</v>
      </c>
      <c r="D238" s="83" t="s">
        <v>102</v>
      </c>
      <c r="E238" s="84">
        <f>E199</f>
        <v>15.785</v>
      </c>
      <c r="F238" s="132">
        <f>F199</f>
        <v>11344.555555555555</v>
      </c>
      <c r="G238" s="86">
        <f>E238*F238</f>
        <v>179073.80944444443</v>
      </c>
    </row>
    <row r="239" spans="1:12" x14ac:dyDescent="0.3">
      <c r="A239" s="74"/>
      <c r="B239" s="81" t="s">
        <v>56</v>
      </c>
      <c r="C239" s="82" t="s">
        <v>104</v>
      </c>
      <c r="D239" s="83" t="s">
        <v>102</v>
      </c>
      <c r="E239" s="84"/>
      <c r="F239" s="132">
        <f>F200</f>
        <v>10789</v>
      </c>
      <c r="G239" s="86">
        <f>E239*F239</f>
        <v>0</v>
      </c>
    </row>
    <row r="240" spans="1:12" x14ac:dyDescent="0.3">
      <c r="A240" s="74"/>
      <c r="B240" s="81" t="s">
        <v>56</v>
      </c>
      <c r="C240" s="82" t="s">
        <v>57</v>
      </c>
      <c r="D240" s="83" t="s">
        <v>102</v>
      </c>
      <c r="E240" s="84">
        <f>E201</f>
        <v>1.881</v>
      </c>
      <c r="F240" s="132">
        <f>F201</f>
        <v>9656.8888888888887</v>
      </c>
      <c r="G240" s="86">
        <f>E240*F240</f>
        <v>18164.608</v>
      </c>
    </row>
    <row r="241" spans="1:12" x14ac:dyDescent="0.3">
      <c r="A241" s="74"/>
      <c r="B241" s="81" t="s">
        <v>56</v>
      </c>
      <c r="C241" s="82" t="s">
        <v>105</v>
      </c>
      <c r="D241" s="83" t="s">
        <v>102</v>
      </c>
      <c r="E241" s="84"/>
      <c r="F241" s="132">
        <f>F202</f>
        <v>9656.8888888888887</v>
      </c>
      <c r="G241" s="86">
        <f>E241*F241</f>
        <v>0</v>
      </c>
    </row>
    <row r="242" spans="1:12" ht="10.8" thickBot="1" x14ac:dyDescent="0.35">
      <c r="A242" s="74"/>
      <c r="B242" s="87" t="s">
        <v>106</v>
      </c>
      <c r="C242" s="88"/>
      <c r="D242" s="89"/>
      <c r="E242" s="90"/>
      <c r="F242" s="91"/>
      <c r="G242" s="92">
        <f>SUM(G237:G241)</f>
        <v>197238.41744444444</v>
      </c>
      <c r="L242" s="93"/>
    </row>
    <row r="243" spans="1:12" x14ac:dyDescent="0.3">
      <c r="A243" s="74"/>
      <c r="B243" s="75" t="s">
        <v>58</v>
      </c>
      <c r="C243" s="52" t="s">
        <v>246</v>
      </c>
      <c r="D243" s="53" t="s">
        <v>247</v>
      </c>
      <c r="E243" s="54">
        <f>E204</f>
        <v>9.3500000000000014E-2</v>
      </c>
      <c r="F243" s="55">
        <f t="shared" ref="F243:F250" si="16">F204</f>
        <v>1807030</v>
      </c>
      <c r="G243" s="80">
        <f t="shared" ref="G243:G253" si="17">E243*F243</f>
        <v>168957.30500000002</v>
      </c>
    </row>
    <row r="244" spans="1:12" x14ac:dyDescent="0.3">
      <c r="A244" s="74"/>
      <c r="B244" s="81" t="s">
        <v>58</v>
      </c>
      <c r="C244" s="52" t="s">
        <v>248</v>
      </c>
      <c r="D244" s="53" t="s">
        <v>60</v>
      </c>
      <c r="E244" s="54">
        <f>E205</f>
        <v>2.75</v>
      </c>
      <c r="F244" s="55">
        <f t="shared" si="16"/>
        <v>7500</v>
      </c>
      <c r="G244" s="86">
        <f t="shared" si="17"/>
        <v>20625</v>
      </c>
    </row>
    <row r="245" spans="1:12" x14ac:dyDescent="0.3">
      <c r="A245" s="74"/>
      <c r="B245" s="81" t="s">
        <v>58</v>
      </c>
      <c r="C245" s="52" t="s">
        <v>249</v>
      </c>
      <c r="D245" s="53" t="s">
        <v>24</v>
      </c>
      <c r="E245" s="54">
        <f t="shared" ref="E245:E250" si="18">E206</f>
        <v>0.39600000000000002</v>
      </c>
      <c r="F245" s="55">
        <f t="shared" si="16"/>
        <v>15104.166666666668</v>
      </c>
      <c r="G245" s="86">
        <f t="shared" si="17"/>
        <v>5981.2500000000009</v>
      </c>
    </row>
    <row r="246" spans="1:12" x14ac:dyDescent="0.3">
      <c r="A246" s="74"/>
      <c r="B246" s="81" t="s">
        <v>58</v>
      </c>
      <c r="C246" s="52" t="s">
        <v>250</v>
      </c>
      <c r="D246" s="53" t="s">
        <v>24</v>
      </c>
      <c r="E246" s="54">
        <f t="shared" si="18"/>
        <v>0.36</v>
      </c>
      <c r="F246" s="55">
        <f t="shared" si="16"/>
        <v>37500</v>
      </c>
      <c r="G246" s="86">
        <f t="shared" si="17"/>
        <v>13500</v>
      </c>
    </row>
    <row r="247" spans="1:12" x14ac:dyDescent="0.3">
      <c r="A247" s="74"/>
      <c r="B247" s="81" t="s">
        <v>58</v>
      </c>
      <c r="C247" s="52" t="s">
        <v>30</v>
      </c>
      <c r="D247" s="53" t="s">
        <v>60</v>
      </c>
      <c r="E247" s="54">
        <f t="shared" si="18"/>
        <v>2.2000000000000002</v>
      </c>
      <c r="F247" s="55">
        <f t="shared" si="16"/>
        <v>7500</v>
      </c>
      <c r="G247" s="86">
        <f t="shared" si="17"/>
        <v>16500</v>
      </c>
    </row>
    <row r="248" spans="1:12" x14ac:dyDescent="0.3">
      <c r="A248" s="74"/>
      <c r="B248" s="81" t="s">
        <v>58</v>
      </c>
      <c r="C248" s="52" t="s">
        <v>251</v>
      </c>
      <c r="D248" s="53" t="s">
        <v>60</v>
      </c>
      <c r="E248" s="54">
        <f t="shared" si="18"/>
        <v>300</v>
      </c>
      <c r="F248" s="55">
        <f t="shared" si="16"/>
        <v>260</v>
      </c>
      <c r="G248" s="86">
        <f t="shared" si="17"/>
        <v>78000</v>
      </c>
    </row>
    <row r="249" spans="1:12" x14ac:dyDescent="0.3">
      <c r="A249" s="74"/>
      <c r="B249" s="81" t="s">
        <v>58</v>
      </c>
      <c r="C249" s="52" t="s">
        <v>252</v>
      </c>
      <c r="D249" s="53" t="s">
        <v>36</v>
      </c>
      <c r="E249" s="54">
        <f t="shared" si="18"/>
        <v>0.65</v>
      </c>
      <c r="F249" s="55">
        <f t="shared" si="16"/>
        <v>50000</v>
      </c>
      <c r="G249" s="86">
        <f t="shared" si="17"/>
        <v>32500</v>
      </c>
    </row>
    <row r="250" spans="1:12" x14ac:dyDescent="0.3">
      <c r="A250" s="74"/>
      <c r="B250" s="81" t="s">
        <v>58</v>
      </c>
      <c r="C250" s="52" t="s">
        <v>61</v>
      </c>
      <c r="D250" s="53" t="s">
        <v>36</v>
      </c>
      <c r="E250" s="54">
        <f t="shared" si="18"/>
        <v>0.65</v>
      </c>
      <c r="F250" s="55">
        <f t="shared" si="16"/>
        <v>50000</v>
      </c>
      <c r="G250" s="86">
        <f t="shared" si="17"/>
        <v>32500</v>
      </c>
    </row>
    <row r="251" spans="1:12" x14ac:dyDescent="0.3">
      <c r="A251" s="74"/>
      <c r="B251" s="81" t="s">
        <v>58</v>
      </c>
      <c r="C251" s="82"/>
      <c r="D251" s="83"/>
      <c r="E251" s="84"/>
      <c r="F251" s="85"/>
      <c r="G251" s="86">
        <f t="shared" si="17"/>
        <v>0</v>
      </c>
    </row>
    <row r="252" spans="1:12" x14ac:dyDescent="0.3">
      <c r="A252" s="74"/>
      <c r="B252" s="81" t="s">
        <v>58</v>
      </c>
      <c r="C252" s="82"/>
      <c r="D252" s="83"/>
      <c r="E252" s="84"/>
      <c r="F252" s="85"/>
      <c r="G252" s="86">
        <f t="shared" si="17"/>
        <v>0</v>
      </c>
    </row>
    <row r="253" spans="1:12" x14ac:dyDescent="0.3">
      <c r="A253" s="74"/>
      <c r="B253" s="81" t="s">
        <v>58</v>
      </c>
      <c r="C253" s="82"/>
      <c r="D253" s="83"/>
      <c r="E253" s="84"/>
      <c r="F253" s="85"/>
      <c r="G253" s="86">
        <f t="shared" si="17"/>
        <v>0</v>
      </c>
    </row>
    <row r="254" spans="1:12" x14ac:dyDescent="0.3">
      <c r="A254" s="74"/>
      <c r="B254" s="81" t="s">
        <v>58</v>
      </c>
      <c r="C254" s="82"/>
      <c r="D254" s="83"/>
      <c r="E254" s="84"/>
      <c r="F254" s="85"/>
      <c r="G254" s="86"/>
    </row>
    <row r="255" spans="1:12" x14ac:dyDescent="0.3">
      <c r="A255" s="74"/>
      <c r="B255" s="81" t="s">
        <v>58</v>
      </c>
      <c r="C255" s="82"/>
      <c r="D255" s="83"/>
      <c r="E255" s="84"/>
      <c r="F255" s="85"/>
      <c r="G255" s="86"/>
    </row>
    <row r="256" spans="1:12" x14ac:dyDescent="0.3">
      <c r="A256" s="74"/>
      <c r="B256" s="81" t="s">
        <v>58</v>
      </c>
      <c r="C256" s="82"/>
      <c r="D256" s="83"/>
      <c r="E256" s="84"/>
      <c r="F256" s="85"/>
      <c r="G256" s="86"/>
    </row>
    <row r="257" spans="1:12" ht="10.8" thickBot="1" x14ac:dyDescent="0.35">
      <c r="A257" s="95"/>
      <c r="B257" s="87" t="s">
        <v>107</v>
      </c>
      <c r="C257" s="96"/>
      <c r="D257" s="89"/>
      <c r="E257" s="90"/>
      <c r="F257" s="91"/>
      <c r="G257" s="92">
        <f>SUM(G243:G256)</f>
        <v>368563.55500000005</v>
      </c>
    </row>
    <row r="258" spans="1:12" ht="10.8" thickBot="1" x14ac:dyDescent="0.35">
      <c r="A258" s="95"/>
      <c r="B258" s="95"/>
      <c r="C258" s="97"/>
      <c r="D258" s="98"/>
      <c r="E258" s="99"/>
      <c r="F258" s="100"/>
      <c r="G258" s="100"/>
    </row>
    <row r="259" spans="1:12" x14ac:dyDescent="0.3">
      <c r="A259" s="95"/>
      <c r="B259" s="101">
        <v>1</v>
      </c>
      <c r="C259" s="102" t="s">
        <v>68</v>
      </c>
      <c r="D259" s="103" t="s">
        <v>67</v>
      </c>
      <c r="E259" s="104"/>
      <c r="F259" s="105"/>
      <c r="G259" s="106">
        <f>G242</f>
        <v>197238.41744444444</v>
      </c>
    </row>
    <row r="260" spans="1:12" x14ac:dyDescent="0.3">
      <c r="A260" s="95"/>
      <c r="B260" s="107">
        <v>2</v>
      </c>
      <c r="C260" s="108" t="s">
        <v>66</v>
      </c>
      <c r="D260" s="109" t="s">
        <v>69</v>
      </c>
      <c r="E260" s="110"/>
      <c r="F260" s="111"/>
      <c r="G260" s="112">
        <f>G257</f>
        <v>368563.55500000005</v>
      </c>
    </row>
    <row r="261" spans="1:12" x14ac:dyDescent="0.3">
      <c r="A261" s="95"/>
      <c r="B261" s="107">
        <v>3</v>
      </c>
      <c r="C261" s="108" t="s">
        <v>70</v>
      </c>
      <c r="D261" s="109" t="s">
        <v>71</v>
      </c>
      <c r="E261" s="110"/>
      <c r="F261" s="111"/>
      <c r="G261" s="112"/>
    </row>
    <row r="262" spans="1:12" x14ac:dyDescent="0.3">
      <c r="A262" s="95"/>
      <c r="B262" s="107">
        <v>4</v>
      </c>
      <c r="C262" s="113" t="s">
        <v>72</v>
      </c>
      <c r="D262" s="109" t="s">
        <v>73</v>
      </c>
      <c r="E262" s="110"/>
      <c r="F262" s="111"/>
      <c r="G262" s="114">
        <f>SUM(G259:G261)</f>
        <v>565801.97244444443</v>
      </c>
    </row>
    <row r="263" spans="1:12" x14ac:dyDescent="0.3">
      <c r="A263" s="95"/>
      <c r="B263" s="107">
        <v>5</v>
      </c>
      <c r="C263" s="108" t="s">
        <v>108</v>
      </c>
      <c r="D263" s="109" t="s">
        <v>109</v>
      </c>
      <c r="E263" s="116">
        <f t="shared" ref="E263:E271" si="19">E224</f>
        <v>0.25</v>
      </c>
      <c r="F263" s="111"/>
      <c r="G263" s="112">
        <f>+G262*E263</f>
        <v>141450.49311111111</v>
      </c>
    </row>
    <row r="264" spans="1:12" x14ac:dyDescent="0.3">
      <c r="A264" s="95"/>
      <c r="B264" s="107">
        <v>6</v>
      </c>
      <c r="C264" s="113" t="s">
        <v>110</v>
      </c>
      <c r="D264" s="109" t="s">
        <v>74</v>
      </c>
      <c r="E264" s="116">
        <f t="shared" si="19"/>
        <v>0</v>
      </c>
      <c r="F264" s="111"/>
      <c r="G264" s="114">
        <f>G263+G262</f>
        <v>707252.46555555554</v>
      </c>
    </row>
    <row r="265" spans="1:12" x14ac:dyDescent="0.3">
      <c r="A265" s="95"/>
      <c r="B265" s="107">
        <v>7</v>
      </c>
      <c r="C265" s="108" t="s">
        <v>111</v>
      </c>
      <c r="D265" s="109" t="s">
        <v>112</v>
      </c>
      <c r="E265" s="116">
        <f t="shared" si="19"/>
        <v>7.0000000000000007E-2</v>
      </c>
      <c r="F265" s="111"/>
      <c r="G265" s="112">
        <f>+G264*E265</f>
        <v>49507.67258888889</v>
      </c>
    </row>
    <row r="266" spans="1:12" x14ac:dyDescent="0.3">
      <c r="A266" s="95"/>
      <c r="B266" s="107">
        <v>8</v>
      </c>
      <c r="C266" s="108" t="s">
        <v>113</v>
      </c>
      <c r="D266" s="109" t="s">
        <v>114</v>
      </c>
      <c r="E266" s="116">
        <f t="shared" si="19"/>
        <v>0.05</v>
      </c>
      <c r="F266" s="111"/>
      <c r="G266" s="112">
        <f>G264*E266</f>
        <v>35362.623277777777</v>
      </c>
    </row>
    <row r="267" spans="1:12" x14ac:dyDescent="0.3">
      <c r="A267" s="95"/>
      <c r="B267" s="107">
        <v>9</v>
      </c>
      <c r="C267" s="108" t="s">
        <v>75</v>
      </c>
      <c r="D267" s="109" t="s">
        <v>115</v>
      </c>
      <c r="E267" s="116">
        <f t="shared" si="19"/>
        <v>0.2</v>
      </c>
      <c r="F267" s="111"/>
      <c r="G267" s="112">
        <f>G264*E267</f>
        <v>141450.49311111111</v>
      </c>
    </row>
    <row r="268" spans="1:12" x14ac:dyDescent="0.3">
      <c r="A268" s="95"/>
      <c r="B268" s="107">
        <v>10</v>
      </c>
      <c r="C268" s="113" t="s">
        <v>76</v>
      </c>
      <c r="D268" s="109" t="s">
        <v>116</v>
      </c>
      <c r="E268" s="116">
        <f t="shared" si="19"/>
        <v>0</v>
      </c>
      <c r="F268" s="111"/>
      <c r="G268" s="114">
        <f>G267+G266+G265+G264</f>
        <v>933573.25453333324</v>
      </c>
      <c r="L268" s="93"/>
    </row>
    <row r="269" spans="1:12" x14ac:dyDescent="0.3">
      <c r="A269" s="95"/>
      <c r="B269" s="107">
        <v>11</v>
      </c>
      <c r="C269" s="113" t="s">
        <v>117</v>
      </c>
      <c r="D269" s="109" t="s">
        <v>118</v>
      </c>
      <c r="E269" s="116">
        <f t="shared" si="19"/>
        <v>0</v>
      </c>
      <c r="F269" s="111"/>
      <c r="G269" s="112">
        <f>G268-G260</f>
        <v>565009.69953333319</v>
      </c>
    </row>
    <row r="270" spans="1:12" x14ac:dyDescent="0.3">
      <c r="A270" s="95"/>
      <c r="B270" s="107">
        <v>12</v>
      </c>
      <c r="C270" s="108" t="s">
        <v>119</v>
      </c>
      <c r="D270" s="109" t="s">
        <v>77</v>
      </c>
      <c r="E270" s="116">
        <f t="shared" si="19"/>
        <v>0.1</v>
      </c>
      <c r="F270" s="111"/>
      <c r="G270" s="112">
        <f>G268*E270</f>
        <v>93357.325453333324</v>
      </c>
    </row>
    <row r="271" spans="1:12" ht="10.8" thickBot="1" x14ac:dyDescent="0.35">
      <c r="A271" s="95"/>
      <c r="B271" s="117">
        <v>13</v>
      </c>
      <c r="C271" s="88" t="s">
        <v>78</v>
      </c>
      <c r="D271" s="89"/>
      <c r="E271" s="118">
        <f t="shared" si="19"/>
        <v>0</v>
      </c>
      <c r="F271" s="91"/>
      <c r="G271" s="119">
        <f>G267*E271</f>
        <v>0</v>
      </c>
    </row>
    <row r="272" spans="1:12" ht="10.8" thickBot="1" x14ac:dyDescent="0.35">
      <c r="A272" s="95"/>
      <c r="B272" s="120"/>
      <c r="C272" s="121"/>
      <c r="D272" s="120"/>
      <c r="E272" s="122"/>
      <c r="F272" s="123"/>
      <c r="G272" s="123"/>
    </row>
    <row r="273" spans="1:12" ht="18" customHeight="1" thickBot="1" x14ac:dyDescent="0.35">
      <c r="A273" s="95"/>
      <c r="B273" s="228">
        <v>16</v>
      </c>
      <c r="C273" s="229" t="s">
        <v>124</v>
      </c>
      <c r="D273" s="230" t="s">
        <v>121</v>
      </c>
      <c r="E273" s="231"/>
      <c r="F273" s="232"/>
      <c r="G273" s="233">
        <f>G269+G270+G271</f>
        <v>658367.02498666651</v>
      </c>
      <c r="I273" s="93"/>
      <c r="J273" s="93">
        <f>J234</f>
        <v>1200</v>
      </c>
      <c r="K273" s="315">
        <f>G273/J273</f>
        <v>548.63918748888875</v>
      </c>
    </row>
    <row r="274" spans="1:12" ht="10.8" thickBot="1" x14ac:dyDescent="0.35"/>
    <row r="275" spans="1:12" ht="10.8" thickBot="1" x14ac:dyDescent="0.35">
      <c r="A275" s="69"/>
      <c r="B275" s="70" t="s">
        <v>55</v>
      </c>
      <c r="C275" s="70" t="s">
        <v>272</v>
      </c>
      <c r="D275" s="71" t="s">
        <v>100</v>
      </c>
      <c r="E275" s="72"/>
      <c r="F275" s="72"/>
      <c r="G275" s="73"/>
    </row>
    <row r="276" spans="1:12" x14ac:dyDescent="0.3">
      <c r="A276" s="74"/>
      <c r="B276" s="128" t="s">
        <v>56</v>
      </c>
      <c r="C276" s="129" t="s">
        <v>101</v>
      </c>
      <c r="D276" s="130" t="s">
        <v>102</v>
      </c>
      <c r="E276" s="131"/>
      <c r="F276" s="132">
        <f>F237</f>
        <v>14677.888888888889</v>
      </c>
      <c r="G276" s="133">
        <f>E276*F276</f>
        <v>0</v>
      </c>
    </row>
    <row r="277" spans="1:12" x14ac:dyDescent="0.3">
      <c r="A277" s="74"/>
      <c r="B277" s="81" t="s">
        <v>56</v>
      </c>
      <c r="C277" s="82" t="s">
        <v>103</v>
      </c>
      <c r="D277" s="83" t="s">
        <v>102</v>
      </c>
      <c r="E277" s="84">
        <f>Hoja8!S8</f>
        <v>35.365000000000002</v>
      </c>
      <c r="F277" s="132">
        <f t="shared" ref="F277:F280" si="20">F238</f>
        <v>11344.555555555555</v>
      </c>
      <c r="G277" s="86">
        <f>E277*F277</f>
        <v>401200.20722222223</v>
      </c>
    </row>
    <row r="278" spans="1:12" x14ac:dyDescent="0.3">
      <c r="A278" s="74"/>
      <c r="B278" s="81" t="s">
        <v>56</v>
      </c>
      <c r="C278" s="82" t="s">
        <v>104</v>
      </c>
      <c r="D278" s="83" t="s">
        <v>102</v>
      </c>
      <c r="E278" s="84"/>
      <c r="F278" s="132">
        <f t="shared" si="20"/>
        <v>10789</v>
      </c>
      <c r="G278" s="86">
        <f>E278*F278</f>
        <v>0</v>
      </c>
    </row>
    <row r="279" spans="1:12" x14ac:dyDescent="0.3">
      <c r="A279" s="74"/>
      <c r="B279" s="81" t="s">
        <v>56</v>
      </c>
      <c r="C279" s="82" t="s">
        <v>57</v>
      </c>
      <c r="D279" s="83" t="s">
        <v>102</v>
      </c>
      <c r="E279" s="84">
        <f>Hoja8!T8</f>
        <v>20.130000000000003</v>
      </c>
      <c r="F279" s="132">
        <f t="shared" si="20"/>
        <v>9656.8888888888887</v>
      </c>
      <c r="G279" s="86">
        <f>E279*F279</f>
        <v>194393.17333333334</v>
      </c>
    </row>
    <row r="280" spans="1:12" x14ac:dyDescent="0.3">
      <c r="A280" s="74"/>
      <c r="B280" s="81" t="s">
        <v>56</v>
      </c>
      <c r="C280" s="82" t="s">
        <v>105</v>
      </c>
      <c r="D280" s="83" t="s">
        <v>102</v>
      </c>
      <c r="E280" s="84"/>
      <c r="F280" s="132">
        <f t="shared" si="20"/>
        <v>9656.8888888888887</v>
      </c>
      <c r="G280" s="86">
        <f>E280*F280</f>
        <v>0</v>
      </c>
    </row>
    <row r="281" spans="1:12" ht="10.8" thickBot="1" x14ac:dyDescent="0.35">
      <c r="A281" s="74"/>
      <c r="B281" s="87" t="s">
        <v>106</v>
      </c>
      <c r="C281" s="88"/>
      <c r="D281" s="89"/>
      <c r="E281" s="90"/>
      <c r="F281" s="91"/>
      <c r="G281" s="92">
        <f>SUM(G276:G280)</f>
        <v>595593.38055555557</v>
      </c>
      <c r="L281" s="93"/>
    </row>
    <row r="282" spans="1:12" x14ac:dyDescent="0.3">
      <c r="A282" s="74"/>
      <c r="B282" s="75" t="s">
        <v>58</v>
      </c>
      <c r="C282" s="52" t="s">
        <v>246</v>
      </c>
      <c r="D282" s="53" t="s">
        <v>247</v>
      </c>
      <c r="E282" s="54">
        <f>Hoja8!N8</f>
        <v>0.19800000000000001</v>
      </c>
      <c r="F282" s="55">
        <f>F243</f>
        <v>1807030</v>
      </c>
      <c r="G282" s="80">
        <f t="shared" ref="G282:G292" si="21">E282*F282</f>
        <v>357791.94</v>
      </c>
    </row>
    <row r="283" spans="1:12" x14ac:dyDescent="0.3">
      <c r="A283" s="74"/>
      <c r="B283" s="81" t="s">
        <v>58</v>
      </c>
      <c r="C283" s="52" t="s">
        <v>248</v>
      </c>
      <c r="D283" s="53" t="s">
        <v>60</v>
      </c>
      <c r="E283" s="54">
        <f>Hoja8!O8</f>
        <v>0.92400000000000004</v>
      </c>
      <c r="F283" s="55">
        <f>F244</f>
        <v>7500</v>
      </c>
      <c r="G283" s="86">
        <f t="shared" si="21"/>
        <v>6930</v>
      </c>
    </row>
    <row r="284" spans="1:12" x14ac:dyDescent="0.3">
      <c r="A284" s="74"/>
      <c r="B284" s="81" t="s">
        <v>58</v>
      </c>
      <c r="C284" s="52" t="s">
        <v>249</v>
      </c>
      <c r="D284" s="53" t="s">
        <v>24</v>
      </c>
      <c r="E284" s="54">
        <f>Hoja8!P8</f>
        <v>3.8500000000000005</v>
      </c>
      <c r="F284" s="55">
        <f t="shared" ref="F284:F289" si="22">F245</f>
        <v>15104.166666666668</v>
      </c>
      <c r="G284" s="86">
        <f t="shared" si="21"/>
        <v>58151.041666666679</v>
      </c>
    </row>
    <row r="285" spans="1:12" x14ac:dyDescent="0.3">
      <c r="A285" s="74"/>
      <c r="B285" s="81" t="s">
        <v>58</v>
      </c>
      <c r="C285" s="52" t="s">
        <v>250</v>
      </c>
      <c r="D285" s="53" t="s">
        <v>24</v>
      </c>
      <c r="E285" s="54">
        <f>Hoja8!Q8</f>
        <v>1.4850000000000003</v>
      </c>
      <c r="F285" s="55">
        <f t="shared" si="22"/>
        <v>37500</v>
      </c>
      <c r="G285" s="86">
        <f t="shared" si="21"/>
        <v>55687.500000000015</v>
      </c>
    </row>
    <row r="286" spans="1:12" x14ac:dyDescent="0.3">
      <c r="A286" s="74"/>
      <c r="B286" s="81" t="s">
        <v>58</v>
      </c>
      <c r="C286" s="52" t="s">
        <v>30</v>
      </c>
      <c r="D286" s="53" t="s">
        <v>60</v>
      </c>
      <c r="E286" s="54">
        <f>Hoja8!R8</f>
        <v>1.6500000000000001</v>
      </c>
      <c r="F286" s="55">
        <f t="shared" si="22"/>
        <v>7500</v>
      </c>
      <c r="G286" s="86">
        <f t="shared" si="21"/>
        <v>12375.000000000002</v>
      </c>
    </row>
    <row r="287" spans="1:12" x14ac:dyDescent="0.3">
      <c r="A287" s="74"/>
      <c r="B287" s="81" t="s">
        <v>58</v>
      </c>
      <c r="C287" s="52" t="s">
        <v>251</v>
      </c>
      <c r="D287" s="53" t="s">
        <v>60</v>
      </c>
      <c r="E287" s="54">
        <v>300</v>
      </c>
      <c r="F287" s="55">
        <f t="shared" si="22"/>
        <v>260</v>
      </c>
      <c r="G287" s="86">
        <f t="shared" si="21"/>
        <v>78000</v>
      </c>
    </row>
    <row r="288" spans="1:12" x14ac:dyDescent="0.3">
      <c r="A288" s="74"/>
      <c r="B288" s="81" t="s">
        <v>58</v>
      </c>
      <c r="C288" s="52" t="s">
        <v>252</v>
      </c>
      <c r="D288" s="53" t="s">
        <v>36</v>
      </c>
      <c r="E288" s="54">
        <v>0.65</v>
      </c>
      <c r="F288" s="55">
        <f t="shared" si="22"/>
        <v>50000</v>
      </c>
      <c r="G288" s="86">
        <f t="shared" si="21"/>
        <v>32500</v>
      </c>
    </row>
    <row r="289" spans="1:7" x14ac:dyDescent="0.3">
      <c r="A289" s="74"/>
      <c r="B289" s="81" t="s">
        <v>58</v>
      </c>
      <c r="C289" s="52" t="s">
        <v>61</v>
      </c>
      <c r="D289" s="53" t="s">
        <v>36</v>
      </c>
      <c r="E289" s="54">
        <v>0.65</v>
      </c>
      <c r="F289" s="55">
        <f t="shared" si="22"/>
        <v>50000</v>
      </c>
      <c r="G289" s="86">
        <f t="shared" si="21"/>
        <v>32500</v>
      </c>
    </row>
    <row r="290" spans="1:7" x14ac:dyDescent="0.3">
      <c r="A290" s="74"/>
      <c r="B290" s="81" t="s">
        <v>58</v>
      </c>
      <c r="C290" s="82"/>
      <c r="D290" s="83"/>
      <c r="E290" s="84"/>
      <c r="F290" s="85"/>
      <c r="G290" s="86">
        <f t="shared" si="21"/>
        <v>0</v>
      </c>
    </row>
    <row r="291" spans="1:7" x14ac:dyDescent="0.3">
      <c r="A291" s="74"/>
      <c r="B291" s="81" t="s">
        <v>58</v>
      </c>
      <c r="C291" s="82"/>
      <c r="D291" s="83"/>
      <c r="E291" s="84"/>
      <c r="F291" s="85"/>
      <c r="G291" s="86">
        <f t="shared" si="21"/>
        <v>0</v>
      </c>
    </row>
    <row r="292" spans="1:7" x14ac:dyDescent="0.3">
      <c r="A292" s="74"/>
      <c r="B292" s="81" t="s">
        <v>58</v>
      </c>
      <c r="C292" s="82"/>
      <c r="D292" s="83"/>
      <c r="E292" s="84"/>
      <c r="F292" s="85"/>
      <c r="G292" s="86">
        <f t="shared" si="21"/>
        <v>0</v>
      </c>
    </row>
    <row r="293" spans="1:7" x14ac:dyDescent="0.3">
      <c r="A293" s="74"/>
      <c r="B293" s="81" t="s">
        <v>58</v>
      </c>
      <c r="C293" s="82"/>
      <c r="D293" s="83"/>
      <c r="E293" s="84"/>
      <c r="F293" s="85"/>
      <c r="G293" s="86"/>
    </row>
    <row r="294" spans="1:7" x14ac:dyDescent="0.3">
      <c r="A294" s="74"/>
      <c r="B294" s="81" t="s">
        <v>58</v>
      </c>
      <c r="C294" s="82"/>
      <c r="D294" s="83"/>
      <c r="E294" s="84"/>
      <c r="F294" s="85"/>
      <c r="G294" s="86"/>
    </row>
    <row r="295" spans="1:7" x14ac:dyDescent="0.3">
      <c r="A295" s="74"/>
      <c r="B295" s="81" t="s">
        <v>58</v>
      </c>
      <c r="C295" s="82"/>
      <c r="D295" s="83"/>
      <c r="E295" s="84"/>
      <c r="F295" s="85"/>
      <c r="G295" s="86"/>
    </row>
    <row r="296" spans="1:7" ht="10.8" thickBot="1" x14ac:dyDescent="0.35">
      <c r="A296" s="95"/>
      <c r="B296" s="87" t="s">
        <v>107</v>
      </c>
      <c r="C296" s="96"/>
      <c r="D296" s="89"/>
      <c r="E296" s="90"/>
      <c r="F296" s="91"/>
      <c r="G296" s="92">
        <f>SUM(G282:G295)</f>
        <v>633935.48166666669</v>
      </c>
    </row>
    <row r="297" spans="1:7" ht="10.8" thickBot="1" x14ac:dyDescent="0.35">
      <c r="A297" s="95"/>
      <c r="B297" s="95"/>
      <c r="C297" s="97"/>
      <c r="D297" s="98"/>
      <c r="E297" s="99"/>
      <c r="F297" s="100"/>
      <c r="G297" s="100"/>
    </row>
    <row r="298" spans="1:7" x14ac:dyDescent="0.3">
      <c r="A298" s="95"/>
      <c r="B298" s="101">
        <v>1</v>
      </c>
      <c r="C298" s="102" t="s">
        <v>68</v>
      </c>
      <c r="D298" s="103" t="s">
        <v>67</v>
      </c>
      <c r="E298" s="104"/>
      <c r="F298" s="105"/>
      <c r="G298" s="106">
        <f>G281</f>
        <v>595593.38055555557</v>
      </c>
    </row>
    <row r="299" spans="1:7" x14ac:dyDescent="0.3">
      <c r="A299" s="95"/>
      <c r="B299" s="107">
        <v>2</v>
      </c>
      <c r="C299" s="108" t="s">
        <v>66</v>
      </c>
      <c r="D299" s="109" t="s">
        <v>69</v>
      </c>
      <c r="E299" s="110"/>
      <c r="F299" s="111"/>
      <c r="G299" s="112">
        <f>G296</f>
        <v>633935.48166666669</v>
      </c>
    </row>
    <row r="300" spans="1:7" x14ac:dyDescent="0.3">
      <c r="A300" s="95"/>
      <c r="B300" s="107">
        <v>3</v>
      </c>
      <c r="C300" s="108" t="s">
        <v>70</v>
      </c>
      <c r="D300" s="109" t="s">
        <v>71</v>
      </c>
      <c r="E300" s="110"/>
      <c r="F300" s="111"/>
      <c r="G300" s="112"/>
    </row>
    <row r="301" spans="1:7" x14ac:dyDescent="0.3">
      <c r="A301" s="95"/>
      <c r="B301" s="107">
        <v>4</v>
      </c>
      <c r="C301" s="113" t="s">
        <v>72</v>
      </c>
      <c r="D301" s="109" t="s">
        <v>73</v>
      </c>
      <c r="E301" s="110"/>
      <c r="F301" s="111"/>
      <c r="G301" s="114">
        <f>SUM(G298:G300)</f>
        <v>1229528.8622222221</v>
      </c>
    </row>
    <row r="302" spans="1:7" x14ac:dyDescent="0.3">
      <c r="A302" s="95"/>
      <c r="B302" s="107">
        <v>5</v>
      </c>
      <c r="C302" s="108" t="s">
        <v>108</v>
      </c>
      <c r="D302" s="109" t="s">
        <v>109</v>
      </c>
      <c r="E302" s="116">
        <f>E263</f>
        <v>0.25</v>
      </c>
      <c r="F302" s="111"/>
      <c r="G302" s="112">
        <f>+G301*E302</f>
        <v>307382.21555555554</v>
      </c>
    </row>
    <row r="303" spans="1:7" x14ac:dyDescent="0.3">
      <c r="A303" s="95"/>
      <c r="B303" s="107">
        <v>6</v>
      </c>
      <c r="C303" s="113" t="s">
        <v>110</v>
      </c>
      <c r="D303" s="109" t="s">
        <v>74</v>
      </c>
      <c r="E303" s="116">
        <f t="shared" ref="E303:E310" si="23">E264</f>
        <v>0</v>
      </c>
      <c r="F303" s="111"/>
      <c r="G303" s="114">
        <f>G302+G301</f>
        <v>1536911.0777777778</v>
      </c>
    </row>
    <row r="304" spans="1:7" x14ac:dyDescent="0.3">
      <c r="A304" s="95"/>
      <c r="B304" s="107">
        <v>7</v>
      </c>
      <c r="C304" s="108" t="s">
        <v>111</v>
      </c>
      <c r="D304" s="109" t="s">
        <v>112</v>
      </c>
      <c r="E304" s="116">
        <f t="shared" si="23"/>
        <v>7.0000000000000007E-2</v>
      </c>
      <c r="F304" s="111"/>
      <c r="G304" s="112">
        <f>+G303*E304</f>
        <v>107583.77544444446</v>
      </c>
    </row>
    <row r="305" spans="1:12" x14ac:dyDescent="0.3">
      <c r="A305" s="95"/>
      <c r="B305" s="107">
        <v>8</v>
      </c>
      <c r="C305" s="108" t="s">
        <v>113</v>
      </c>
      <c r="D305" s="109" t="s">
        <v>114</v>
      </c>
      <c r="E305" s="116">
        <f t="shared" si="23"/>
        <v>0.05</v>
      </c>
      <c r="F305" s="111"/>
      <c r="G305" s="112">
        <f>G303*E305</f>
        <v>76845.553888888899</v>
      </c>
    </row>
    <row r="306" spans="1:12" x14ac:dyDescent="0.3">
      <c r="A306" s="95"/>
      <c r="B306" s="107">
        <v>9</v>
      </c>
      <c r="C306" s="108" t="s">
        <v>75</v>
      </c>
      <c r="D306" s="109" t="s">
        <v>115</v>
      </c>
      <c r="E306" s="116">
        <f t="shared" si="23"/>
        <v>0.2</v>
      </c>
      <c r="F306" s="111"/>
      <c r="G306" s="112">
        <f>G303*E306</f>
        <v>307382.21555555559</v>
      </c>
    </row>
    <row r="307" spans="1:12" x14ac:dyDescent="0.3">
      <c r="A307" s="95"/>
      <c r="B307" s="107">
        <v>10</v>
      </c>
      <c r="C307" s="113" t="s">
        <v>76</v>
      </c>
      <c r="D307" s="109" t="s">
        <v>116</v>
      </c>
      <c r="E307" s="116">
        <f t="shared" si="23"/>
        <v>0</v>
      </c>
      <c r="F307" s="111"/>
      <c r="G307" s="114">
        <f>G306+G305+G304+G303</f>
        <v>2028722.6226666667</v>
      </c>
      <c r="L307" s="93"/>
    </row>
    <row r="308" spans="1:12" x14ac:dyDescent="0.3">
      <c r="A308" s="95"/>
      <c r="B308" s="107">
        <v>11</v>
      </c>
      <c r="C308" s="113" t="s">
        <v>117</v>
      </c>
      <c r="D308" s="109" t="s">
        <v>118</v>
      </c>
      <c r="E308" s="116">
        <f t="shared" si="23"/>
        <v>0</v>
      </c>
      <c r="F308" s="111"/>
      <c r="G308" s="112">
        <f>G307-G299</f>
        <v>1394787.1410000001</v>
      </c>
    </row>
    <row r="309" spans="1:12" x14ac:dyDescent="0.3">
      <c r="A309" s="95"/>
      <c r="B309" s="107">
        <v>12</v>
      </c>
      <c r="C309" s="108" t="s">
        <v>119</v>
      </c>
      <c r="D309" s="109" t="s">
        <v>77</v>
      </c>
      <c r="E309" s="116">
        <f t="shared" si="23"/>
        <v>0.1</v>
      </c>
      <c r="F309" s="111"/>
      <c r="G309" s="112">
        <f>G307*E309</f>
        <v>202872.26226666669</v>
      </c>
    </row>
    <row r="310" spans="1:12" ht="10.8" thickBot="1" x14ac:dyDescent="0.35">
      <c r="A310" s="95"/>
      <c r="B310" s="117">
        <v>13</v>
      </c>
      <c r="C310" s="88" t="s">
        <v>78</v>
      </c>
      <c r="D310" s="89"/>
      <c r="E310" s="118">
        <f t="shared" si="23"/>
        <v>0</v>
      </c>
      <c r="F310" s="91"/>
      <c r="G310" s="119">
        <f>G306*E310</f>
        <v>0</v>
      </c>
    </row>
    <row r="311" spans="1:12" ht="10.8" thickBot="1" x14ac:dyDescent="0.35">
      <c r="A311" s="95"/>
      <c r="B311" s="120"/>
      <c r="C311" s="121"/>
      <c r="D311" s="120"/>
      <c r="E311" s="122"/>
      <c r="F311" s="123"/>
      <c r="G311" s="123"/>
    </row>
    <row r="312" spans="1:12" ht="18" customHeight="1" thickBot="1" x14ac:dyDescent="0.35">
      <c r="A312" s="95"/>
      <c r="B312" s="228">
        <v>16</v>
      </c>
      <c r="C312" s="229" t="s">
        <v>124</v>
      </c>
      <c r="D312" s="230" t="s">
        <v>121</v>
      </c>
      <c r="E312" s="231"/>
      <c r="F312" s="232"/>
      <c r="G312" s="233">
        <f>G308+G309+G310</f>
        <v>1597659.4032666667</v>
      </c>
      <c r="I312" s="93"/>
      <c r="J312" s="93">
        <f>J273</f>
        <v>1200</v>
      </c>
      <c r="K312" s="315">
        <f>G312/J312</f>
        <v>1331.3828360555556</v>
      </c>
    </row>
    <row r="313" spans="1:12" ht="10.8" thickBot="1" x14ac:dyDescent="0.35"/>
    <row r="314" spans="1:12" ht="10.8" thickBot="1" x14ac:dyDescent="0.35">
      <c r="A314" s="69"/>
      <c r="B314" s="70" t="s">
        <v>55</v>
      </c>
      <c r="C314" s="70" t="s">
        <v>273</v>
      </c>
      <c r="D314" s="71" t="s">
        <v>100</v>
      </c>
      <c r="E314" s="72"/>
      <c r="F314" s="72"/>
      <c r="G314" s="73"/>
    </row>
    <row r="315" spans="1:12" x14ac:dyDescent="0.3">
      <c r="A315" s="74"/>
      <c r="B315" s="128" t="s">
        <v>56</v>
      </c>
      <c r="C315" s="129" t="s">
        <v>101</v>
      </c>
      <c r="D315" s="130" t="s">
        <v>102</v>
      </c>
      <c r="E315" s="131"/>
      <c r="F315" s="132">
        <f>F276</f>
        <v>14677.888888888889</v>
      </c>
      <c r="G315" s="133">
        <f>E315*F315</f>
        <v>0</v>
      </c>
    </row>
    <row r="316" spans="1:12" x14ac:dyDescent="0.3">
      <c r="A316" s="74"/>
      <c r="B316" s="81" t="s">
        <v>56</v>
      </c>
      <c r="C316" s="82" t="s">
        <v>103</v>
      </c>
      <c r="D316" s="83" t="s">
        <v>102</v>
      </c>
      <c r="E316" s="84">
        <f>Hoja8!S7</f>
        <v>21.065000000000001</v>
      </c>
      <c r="F316" s="132">
        <f t="shared" ref="F316:F319" si="24">F277</f>
        <v>11344.555555555555</v>
      </c>
      <c r="G316" s="86">
        <f>E316*F316</f>
        <v>238973.06277777778</v>
      </c>
    </row>
    <row r="317" spans="1:12" x14ac:dyDescent="0.3">
      <c r="A317" s="74"/>
      <c r="B317" s="81" t="s">
        <v>56</v>
      </c>
      <c r="C317" s="82" t="s">
        <v>104</v>
      </c>
      <c r="D317" s="83" t="s">
        <v>102</v>
      </c>
      <c r="E317" s="84"/>
      <c r="F317" s="132">
        <f t="shared" si="24"/>
        <v>10789</v>
      </c>
      <c r="G317" s="86">
        <f>E317*F317</f>
        <v>0</v>
      </c>
    </row>
    <row r="318" spans="1:12" x14ac:dyDescent="0.3">
      <c r="A318" s="74"/>
      <c r="B318" s="81" t="s">
        <v>56</v>
      </c>
      <c r="C318" s="82" t="s">
        <v>57</v>
      </c>
      <c r="D318" s="83" t="s">
        <v>102</v>
      </c>
      <c r="E318" s="84">
        <f>Hoja8!T7</f>
        <v>19.855000000000004</v>
      </c>
      <c r="F318" s="132">
        <f t="shared" si="24"/>
        <v>9656.8888888888887</v>
      </c>
      <c r="G318" s="86">
        <f>E318*F318</f>
        <v>191737.52888888892</v>
      </c>
    </row>
    <row r="319" spans="1:12" x14ac:dyDescent="0.3">
      <c r="A319" s="74"/>
      <c r="B319" s="81" t="s">
        <v>56</v>
      </c>
      <c r="C319" s="82" t="s">
        <v>105</v>
      </c>
      <c r="D319" s="83" t="s">
        <v>102</v>
      </c>
      <c r="E319" s="84"/>
      <c r="F319" s="132">
        <f t="shared" si="24"/>
        <v>9656.8888888888887</v>
      </c>
      <c r="G319" s="86">
        <f>E319*F319</f>
        <v>0</v>
      </c>
    </row>
    <row r="320" spans="1:12" ht="10.8" thickBot="1" x14ac:dyDescent="0.35">
      <c r="A320" s="74"/>
      <c r="B320" s="87" t="s">
        <v>106</v>
      </c>
      <c r="C320" s="88"/>
      <c r="D320" s="89"/>
      <c r="E320" s="90"/>
      <c r="F320" s="91"/>
      <c r="G320" s="92">
        <f>SUM(G315:G319)</f>
        <v>430710.59166666667</v>
      </c>
      <c r="L320" s="93"/>
    </row>
    <row r="321" spans="1:7" x14ac:dyDescent="0.3">
      <c r="A321" s="74"/>
      <c r="B321" s="75" t="s">
        <v>58</v>
      </c>
      <c r="C321" s="52" t="s">
        <v>246</v>
      </c>
      <c r="D321" s="53" t="s">
        <v>247</v>
      </c>
      <c r="E321" s="54">
        <f>Hoja8!N7</f>
        <v>8.8000000000000009E-2</v>
      </c>
      <c r="F321" s="55">
        <f>F282</f>
        <v>1807030</v>
      </c>
      <c r="G321" s="80">
        <f t="shared" ref="G321:G331" si="25">E321*F321</f>
        <v>159018.64000000001</v>
      </c>
    </row>
    <row r="322" spans="1:7" x14ac:dyDescent="0.3">
      <c r="A322" s="74"/>
      <c r="B322" s="81" t="s">
        <v>58</v>
      </c>
      <c r="C322" s="52" t="s">
        <v>248</v>
      </c>
      <c r="D322" s="53" t="s">
        <v>60</v>
      </c>
      <c r="E322" s="54">
        <f>Hoja8!O7</f>
        <v>0.66</v>
      </c>
      <c r="F322" s="55">
        <f>F283</f>
        <v>7500</v>
      </c>
      <c r="G322" s="86">
        <f t="shared" si="25"/>
        <v>4950</v>
      </c>
    </row>
    <row r="323" spans="1:7" x14ac:dyDescent="0.3">
      <c r="A323" s="74"/>
      <c r="B323" s="81" t="s">
        <v>58</v>
      </c>
      <c r="C323" s="52" t="s">
        <v>249</v>
      </c>
      <c r="D323" s="53" t="s">
        <v>24</v>
      </c>
      <c r="E323" s="54">
        <f>Hoja8!P7</f>
        <v>3.3000000000000003</v>
      </c>
      <c r="F323" s="55">
        <f t="shared" ref="F323:F328" si="26">F284</f>
        <v>15104.166666666668</v>
      </c>
      <c r="G323" s="86">
        <f t="shared" si="25"/>
        <v>49843.750000000007</v>
      </c>
    </row>
    <row r="324" spans="1:7" x14ac:dyDescent="0.3">
      <c r="A324" s="74"/>
      <c r="B324" s="81" t="s">
        <v>58</v>
      </c>
      <c r="C324" s="52" t="s">
        <v>250</v>
      </c>
      <c r="D324" s="53" t="s">
        <v>24</v>
      </c>
      <c r="E324" s="54">
        <f>Hoja8!Q7</f>
        <v>1.1000000000000001</v>
      </c>
      <c r="F324" s="55">
        <f t="shared" si="26"/>
        <v>37500</v>
      </c>
      <c r="G324" s="86">
        <f t="shared" si="25"/>
        <v>41250</v>
      </c>
    </row>
    <row r="325" spans="1:7" x14ac:dyDescent="0.3">
      <c r="A325" s="74"/>
      <c r="B325" s="81" t="s">
        <v>58</v>
      </c>
      <c r="C325" s="52" t="s">
        <v>30</v>
      </c>
      <c r="D325" s="53" t="s">
        <v>60</v>
      </c>
      <c r="E325" s="54">
        <f>Hoja8!R7</f>
        <v>1.1000000000000001</v>
      </c>
      <c r="F325" s="55">
        <f t="shared" si="26"/>
        <v>7500</v>
      </c>
      <c r="G325" s="86">
        <f t="shared" si="25"/>
        <v>8250</v>
      </c>
    </row>
    <row r="326" spans="1:7" x14ac:dyDescent="0.3">
      <c r="A326" s="74"/>
      <c r="B326" s="81" t="s">
        <v>58</v>
      </c>
      <c r="C326" s="52" t="s">
        <v>251</v>
      </c>
      <c r="D326" s="53" t="s">
        <v>60</v>
      </c>
      <c r="E326" s="54">
        <v>300</v>
      </c>
      <c r="F326" s="55">
        <f t="shared" si="26"/>
        <v>260</v>
      </c>
      <c r="G326" s="86">
        <f t="shared" si="25"/>
        <v>78000</v>
      </c>
    </row>
    <row r="327" spans="1:7" x14ac:dyDescent="0.3">
      <c r="A327" s="74"/>
      <c r="B327" s="81" t="s">
        <v>58</v>
      </c>
      <c r="C327" s="52" t="s">
        <v>252</v>
      </c>
      <c r="D327" s="53" t="s">
        <v>36</v>
      </c>
      <c r="E327" s="54">
        <v>0.65</v>
      </c>
      <c r="F327" s="55">
        <f t="shared" si="26"/>
        <v>50000</v>
      </c>
      <c r="G327" s="86">
        <f t="shared" si="25"/>
        <v>32500</v>
      </c>
    </row>
    <row r="328" spans="1:7" x14ac:dyDescent="0.3">
      <c r="A328" s="74"/>
      <c r="B328" s="81" t="s">
        <v>58</v>
      </c>
      <c r="C328" s="52" t="s">
        <v>61</v>
      </c>
      <c r="D328" s="53" t="s">
        <v>36</v>
      </c>
      <c r="E328" s="54">
        <v>0.65</v>
      </c>
      <c r="F328" s="55">
        <f t="shared" si="26"/>
        <v>50000</v>
      </c>
      <c r="G328" s="86">
        <f t="shared" si="25"/>
        <v>32500</v>
      </c>
    </row>
    <row r="329" spans="1:7" x14ac:dyDescent="0.3">
      <c r="A329" s="74"/>
      <c r="B329" s="81" t="s">
        <v>58</v>
      </c>
      <c r="C329" s="82"/>
      <c r="D329" s="83"/>
      <c r="E329" s="84"/>
      <c r="F329" s="85"/>
      <c r="G329" s="86">
        <f t="shared" si="25"/>
        <v>0</v>
      </c>
    </row>
    <row r="330" spans="1:7" x14ac:dyDescent="0.3">
      <c r="A330" s="74"/>
      <c r="B330" s="81" t="s">
        <v>58</v>
      </c>
      <c r="C330" s="82"/>
      <c r="D330" s="83"/>
      <c r="E330" s="84"/>
      <c r="F330" s="85"/>
      <c r="G330" s="86">
        <f t="shared" si="25"/>
        <v>0</v>
      </c>
    </row>
    <row r="331" spans="1:7" x14ac:dyDescent="0.3">
      <c r="A331" s="74"/>
      <c r="B331" s="81" t="s">
        <v>58</v>
      </c>
      <c r="C331" s="82"/>
      <c r="D331" s="83"/>
      <c r="E331" s="84"/>
      <c r="F331" s="85"/>
      <c r="G331" s="86">
        <f t="shared" si="25"/>
        <v>0</v>
      </c>
    </row>
    <row r="332" spans="1:7" x14ac:dyDescent="0.3">
      <c r="A332" s="74"/>
      <c r="B332" s="81" t="s">
        <v>58</v>
      </c>
      <c r="C332" s="82"/>
      <c r="D332" s="83"/>
      <c r="E332" s="84"/>
      <c r="F332" s="85"/>
      <c r="G332" s="86"/>
    </row>
    <row r="333" spans="1:7" x14ac:dyDescent="0.3">
      <c r="A333" s="74"/>
      <c r="B333" s="81" t="s">
        <v>58</v>
      </c>
      <c r="C333" s="82"/>
      <c r="D333" s="83"/>
      <c r="E333" s="84"/>
      <c r="F333" s="85"/>
      <c r="G333" s="86"/>
    </row>
    <row r="334" spans="1:7" x14ac:dyDescent="0.3">
      <c r="A334" s="74"/>
      <c r="B334" s="81" t="s">
        <v>58</v>
      </c>
      <c r="C334" s="82"/>
      <c r="D334" s="83"/>
      <c r="E334" s="84"/>
      <c r="F334" s="85"/>
      <c r="G334" s="86"/>
    </row>
    <row r="335" spans="1:7" ht="10.8" thickBot="1" x14ac:dyDescent="0.35">
      <c r="A335" s="95"/>
      <c r="B335" s="87" t="s">
        <v>107</v>
      </c>
      <c r="C335" s="96"/>
      <c r="D335" s="89"/>
      <c r="E335" s="90"/>
      <c r="F335" s="91"/>
      <c r="G335" s="92">
        <f>SUM(G321:G334)</f>
        <v>406312.39</v>
      </c>
    </row>
    <row r="336" spans="1:7" ht="10.8" thickBot="1" x14ac:dyDescent="0.35">
      <c r="A336" s="95"/>
      <c r="B336" s="95"/>
      <c r="C336" s="97"/>
      <c r="D336" s="98"/>
      <c r="E336" s="99"/>
      <c r="F336" s="100"/>
      <c r="G336" s="100"/>
    </row>
    <row r="337" spans="1:12" x14ac:dyDescent="0.3">
      <c r="A337" s="95"/>
      <c r="B337" s="101">
        <v>1</v>
      </c>
      <c r="C337" s="102" t="s">
        <v>68</v>
      </c>
      <c r="D337" s="103" t="s">
        <v>67</v>
      </c>
      <c r="E337" s="104"/>
      <c r="F337" s="105"/>
      <c r="G337" s="106">
        <f>G320</f>
        <v>430710.59166666667</v>
      </c>
    </row>
    <row r="338" spans="1:12" x14ac:dyDescent="0.3">
      <c r="A338" s="95"/>
      <c r="B338" s="107">
        <v>2</v>
      </c>
      <c r="C338" s="108" t="s">
        <v>66</v>
      </c>
      <c r="D338" s="109" t="s">
        <v>69</v>
      </c>
      <c r="E338" s="110"/>
      <c r="F338" s="111"/>
      <c r="G338" s="112">
        <f>G335</f>
        <v>406312.39</v>
      </c>
    </row>
    <row r="339" spans="1:12" x14ac:dyDescent="0.3">
      <c r="A339" s="95"/>
      <c r="B339" s="107">
        <v>3</v>
      </c>
      <c r="C339" s="108" t="s">
        <v>70</v>
      </c>
      <c r="D339" s="109" t="s">
        <v>71</v>
      </c>
      <c r="E339" s="110"/>
      <c r="F339" s="111"/>
      <c r="G339" s="112"/>
    </row>
    <row r="340" spans="1:12" x14ac:dyDescent="0.3">
      <c r="A340" s="95"/>
      <c r="B340" s="107">
        <v>4</v>
      </c>
      <c r="C340" s="113" t="s">
        <v>72</v>
      </c>
      <c r="D340" s="109" t="s">
        <v>73</v>
      </c>
      <c r="E340" s="110"/>
      <c r="F340" s="111"/>
      <c r="G340" s="114">
        <f>SUM(G337:G339)</f>
        <v>837022.98166666669</v>
      </c>
    </row>
    <row r="341" spans="1:12" x14ac:dyDescent="0.3">
      <c r="A341" s="95"/>
      <c r="B341" s="107">
        <v>5</v>
      </c>
      <c r="C341" s="108" t="s">
        <v>108</v>
      </c>
      <c r="D341" s="109" t="s">
        <v>109</v>
      </c>
      <c r="E341" s="116">
        <f>E302</f>
        <v>0.25</v>
      </c>
      <c r="F341" s="111"/>
      <c r="G341" s="112">
        <f>+G340*E341</f>
        <v>209255.74541666667</v>
      </c>
    </row>
    <row r="342" spans="1:12" x14ac:dyDescent="0.3">
      <c r="A342" s="95"/>
      <c r="B342" s="107">
        <v>6</v>
      </c>
      <c r="C342" s="113" t="s">
        <v>110</v>
      </c>
      <c r="D342" s="109" t="s">
        <v>74</v>
      </c>
      <c r="E342" s="116">
        <f t="shared" ref="E342:E349" si="27">E303</f>
        <v>0</v>
      </c>
      <c r="F342" s="111"/>
      <c r="G342" s="114">
        <f>G341+G340</f>
        <v>1046278.7270833333</v>
      </c>
    </row>
    <row r="343" spans="1:12" x14ac:dyDescent="0.3">
      <c r="A343" s="95"/>
      <c r="B343" s="107">
        <v>7</v>
      </c>
      <c r="C343" s="108" t="s">
        <v>111</v>
      </c>
      <c r="D343" s="109" t="s">
        <v>112</v>
      </c>
      <c r="E343" s="116">
        <f t="shared" si="27"/>
        <v>7.0000000000000007E-2</v>
      </c>
      <c r="F343" s="111"/>
      <c r="G343" s="112">
        <f>+G342*E343</f>
        <v>73239.510895833344</v>
      </c>
    </row>
    <row r="344" spans="1:12" x14ac:dyDescent="0.3">
      <c r="A344" s="95"/>
      <c r="B344" s="107">
        <v>8</v>
      </c>
      <c r="C344" s="108" t="s">
        <v>113</v>
      </c>
      <c r="D344" s="109" t="s">
        <v>114</v>
      </c>
      <c r="E344" s="116">
        <f t="shared" si="27"/>
        <v>0.05</v>
      </c>
      <c r="F344" s="111"/>
      <c r="G344" s="112">
        <f>G342*E344</f>
        <v>52313.936354166668</v>
      </c>
    </row>
    <row r="345" spans="1:12" x14ac:dyDescent="0.3">
      <c r="A345" s="95"/>
      <c r="B345" s="107">
        <v>9</v>
      </c>
      <c r="C345" s="108" t="s">
        <v>75</v>
      </c>
      <c r="D345" s="109" t="s">
        <v>115</v>
      </c>
      <c r="E345" s="116">
        <f t="shared" si="27"/>
        <v>0.2</v>
      </c>
      <c r="F345" s="111"/>
      <c r="G345" s="112">
        <f>G342*E345</f>
        <v>209255.74541666667</v>
      </c>
    </row>
    <row r="346" spans="1:12" x14ac:dyDescent="0.3">
      <c r="A346" s="95"/>
      <c r="B346" s="107">
        <v>10</v>
      </c>
      <c r="C346" s="113" t="s">
        <v>76</v>
      </c>
      <c r="D346" s="109" t="s">
        <v>116</v>
      </c>
      <c r="E346" s="116">
        <f t="shared" si="27"/>
        <v>0</v>
      </c>
      <c r="F346" s="111"/>
      <c r="G346" s="114">
        <f>G345+G344+G343+G342</f>
        <v>1381087.9197499999</v>
      </c>
      <c r="L346" s="93"/>
    </row>
    <row r="347" spans="1:12" x14ac:dyDescent="0.3">
      <c r="A347" s="95"/>
      <c r="B347" s="107">
        <v>11</v>
      </c>
      <c r="C347" s="113" t="s">
        <v>117</v>
      </c>
      <c r="D347" s="109" t="s">
        <v>118</v>
      </c>
      <c r="E347" s="116">
        <f t="shared" si="27"/>
        <v>0</v>
      </c>
      <c r="F347" s="111"/>
      <c r="G347" s="112">
        <f>G346-G338</f>
        <v>974775.52974999987</v>
      </c>
    </row>
    <row r="348" spans="1:12" x14ac:dyDescent="0.3">
      <c r="A348" s="95"/>
      <c r="B348" s="107">
        <v>12</v>
      </c>
      <c r="C348" s="108" t="s">
        <v>119</v>
      </c>
      <c r="D348" s="109" t="s">
        <v>77</v>
      </c>
      <c r="E348" s="116">
        <f t="shared" si="27"/>
        <v>0.1</v>
      </c>
      <c r="F348" s="111"/>
      <c r="G348" s="112">
        <f>G346*E348</f>
        <v>138108.791975</v>
      </c>
    </row>
    <row r="349" spans="1:12" ht="10.8" thickBot="1" x14ac:dyDescent="0.35">
      <c r="A349" s="95"/>
      <c r="B349" s="117">
        <v>13</v>
      </c>
      <c r="C349" s="88" t="s">
        <v>78</v>
      </c>
      <c r="D349" s="89"/>
      <c r="E349" s="118">
        <f t="shared" si="27"/>
        <v>0</v>
      </c>
      <c r="F349" s="91"/>
      <c r="G349" s="119">
        <f>G345*E349</f>
        <v>0</v>
      </c>
    </row>
    <row r="350" spans="1:12" ht="10.8" thickBot="1" x14ac:dyDescent="0.35">
      <c r="A350" s="95"/>
      <c r="B350" s="120"/>
      <c r="C350" s="121"/>
      <c r="D350" s="120"/>
      <c r="E350" s="122"/>
      <c r="F350" s="123"/>
      <c r="G350" s="123"/>
    </row>
    <row r="351" spans="1:12" ht="18" customHeight="1" thickBot="1" x14ac:dyDescent="0.35">
      <c r="A351" s="95"/>
      <c r="B351" s="228">
        <v>16</v>
      </c>
      <c r="C351" s="229" t="s">
        <v>124</v>
      </c>
      <c r="D351" s="230" t="s">
        <v>121</v>
      </c>
      <c r="E351" s="231"/>
      <c r="F351" s="232"/>
      <c r="G351" s="233">
        <f>G347+G348+G349</f>
        <v>1112884.3217249999</v>
      </c>
      <c r="I351" s="93"/>
      <c r="J351" s="93">
        <f>J312</f>
        <v>1200</v>
      </c>
      <c r="K351" s="315">
        <f>G351/J351</f>
        <v>927.4036014374999</v>
      </c>
    </row>
    <row r="352" spans="1:12" ht="10.8" thickBot="1" x14ac:dyDescent="0.35"/>
    <row r="353" spans="1:12" ht="10.8" thickBot="1" x14ac:dyDescent="0.35">
      <c r="A353" s="69"/>
      <c r="B353" s="70" t="s">
        <v>55</v>
      </c>
      <c r="C353" s="70" t="s">
        <v>327</v>
      </c>
      <c r="D353" s="71" t="s">
        <v>100</v>
      </c>
      <c r="E353" s="72"/>
      <c r="F353" s="72"/>
      <c r="G353" s="73"/>
    </row>
    <row r="354" spans="1:12" x14ac:dyDescent="0.3">
      <c r="A354" s="74"/>
      <c r="B354" s="128" t="s">
        <v>56</v>
      </c>
      <c r="C354" s="129" t="s">
        <v>101</v>
      </c>
      <c r="D354" s="130" t="s">
        <v>102</v>
      </c>
      <c r="E354" s="131"/>
      <c r="F354" s="132">
        <f>F315</f>
        <v>14677.888888888889</v>
      </c>
      <c r="G354" s="133">
        <f>E354*F354</f>
        <v>0</v>
      </c>
    </row>
    <row r="355" spans="1:12" x14ac:dyDescent="0.3">
      <c r="A355" s="74"/>
      <c r="B355" s="81" t="s">
        <v>56</v>
      </c>
      <c r="C355" s="82" t="s">
        <v>103</v>
      </c>
      <c r="D355" s="83" t="s">
        <v>102</v>
      </c>
      <c r="E355" s="84">
        <f>Hoja8!S12</f>
        <v>39.5</v>
      </c>
      <c r="F355" s="132">
        <f>F316</f>
        <v>11344.555555555555</v>
      </c>
      <c r="G355" s="86">
        <f>E355*F355</f>
        <v>448109.94444444444</v>
      </c>
    </row>
    <row r="356" spans="1:12" x14ac:dyDescent="0.3">
      <c r="A356" s="74"/>
      <c r="B356" s="81" t="s">
        <v>56</v>
      </c>
      <c r="C356" s="82" t="s">
        <v>104</v>
      </c>
      <c r="D356" s="83" t="s">
        <v>102</v>
      </c>
      <c r="E356" s="84"/>
      <c r="F356" s="132">
        <f>F317</f>
        <v>10789</v>
      </c>
      <c r="G356" s="86">
        <f>E356*F356</f>
        <v>0</v>
      </c>
    </row>
    <row r="357" spans="1:12" x14ac:dyDescent="0.3">
      <c r="A357" s="74"/>
      <c r="B357" s="81" t="s">
        <v>56</v>
      </c>
      <c r="C357" s="82" t="s">
        <v>57</v>
      </c>
      <c r="D357" s="83" t="s">
        <v>102</v>
      </c>
      <c r="E357" s="84">
        <f>Hoja8!T12</f>
        <v>22.5</v>
      </c>
      <c r="F357" s="132">
        <f>F318</f>
        <v>9656.8888888888887</v>
      </c>
      <c r="G357" s="86">
        <f>E357*F357</f>
        <v>217280</v>
      </c>
    </row>
    <row r="358" spans="1:12" x14ac:dyDescent="0.3">
      <c r="A358" s="74"/>
      <c r="B358" s="81" t="s">
        <v>56</v>
      </c>
      <c r="C358" s="82" t="s">
        <v>105</v>
      </c>
      <c r="D358" s="83" t="s">
        <v>102</v>
      </c>
      <c r="E358" s="84"/>
      <c r="F358" s="132">
        <f>F319</f>
        <v>9656.8888888888887</v>
      </c>
      <c r="G358" s="86">
        <f>E358*F358</f>
        <v>0</v>
      </c>
    </row>
    <row r="359" spans="1:12" ht="10.8" thickBot="1" x14ac:dyDescent="0.35">
      <c r="A359" s="74"/>
      <c r="B359" s="87" t="s">
        <v>106</v>
      </c>
      <c r="C359" s="88"/>
      <c r="D359" s="89"/>
      <c r="E359" s="90"/>
      <c r="F359" s="91"/>
      <c r="G359" s="92">
        <f>SUM(G354:G358)</f>
        <v>665389.9444444445</v>
      </c>
      <c r="L359" s="93"/>
    </row>
    <row r="360" spans="1:12" x14ac:dyDescent="0.3">
      <c r="A360" s="74"/>
      <c r="B360" s="75" t="s">
        <v>58</v>
      </c>
      <c r="C360" s="52" t="s">
        <v>246</v>
      </c>
      <c r="D360" s="53" t="s">
        <v>247</v>
      </c>
      <c r="E360" s="54">
        <f>Hoja8!N12</f>
        <v>5.5E-2</v>
      </c>
      <c r="F360" s="55">
        <f>F321</f>
        <v>1807030</v>
      </c>
      <c r="G360" s="80">
        <f t="shared" ref="G360:G370" si="28">E360*F360</f>
        <v>99386.65</v>
      </c>
    </row>
    <row r="361" spans="1:12" x14ac:dyDescent="0.3">
      <c r="A361" s="74"/>
      <c r="B361" s="81" t="s">
        <v>58</v>
      </c>
      <c r="C361" s="52" t="s">
        <v>248</v>
      </c>
      <c r="D361" s="53" t="s">
        <v>60</v>
      </c>
      <c r="E361" s="54">
        <f>Hoja8!O12</f>
        <v>0.45</v>
      </c>
      <c r="F361" s="55">
        <f>F322</f>
        <v>7500</v>
      </c>
      <c r="G361" s="86">
        <f t="shared" si="28"/>
        <v>3375</v>
      </c>
    </row>
    <row r="362" spans="1:12" x14ac:dyDescent="0.3">
      <c r="A362" s="74"/>
      <c r="B362" s="81" t="s">
        <v>58</v>
      </c>
      <c r="C362" s="52" t="s">
        <v>249</v>
      </c>
      <c r="D362" s="53" t="s">
        <v>24</v>
      </c>
      <c r="E362" s="54">
        <f>Hoja8!P12</f>
        <v>2</v>
      </c>
      <c r="F362" s="55">
        <f t="shared" ref="F362:F367" si="29">F323</f>
        <v>15104.166666666668</v>
      </c>
      <c r="G362" s="86">
        <f t="shared" si="28"/>
        <v>30208.333333333336</v>
      </c>
    </row>
    <row r="363" spans="1:12" x14ac:dyDescent="0.3">
      <c r="A363" s="74"/>
      <c r="B363" s="81" t="s">
        <v>58</v>
      </c>
      <c r="C363" s="52" t="s">
        <v>250</v>
      </c>
      <c r="D363" s="53" t="s">
        <v>24</v>
      </c>
      <c r="E363" s="54">
        <f>Hoja8!Q12</f>
        <v>0.78</v>
      </c>
      <c r="F363" s="55">
        <f t="shared" si="29"/>
        <v>37500</v>
      </c>
      <c r="G363" s="86">
        <f t="shared" si="28"/>
        <v>29250</v>
      </c>
    </row>
    <row r="364" spans="1:12" x14ac:dyDescent="0.3">
      <c r="A364" s="74"/>
      <c r="B364" s="81" t="s">
        <v>58</v>
      </c>
      <c r="C364" s="52" t="s">
        <v>30</v>
      </c>
      <c r="D364" s="53" t="s">
        <v>60</v>
      </c>
      <c r="E364" s="54">
        <f>Hoja8!R12</f>
        <v>1.7</v>
      </c>
      <c r="F364" s="55">
        <f t="shared" si="29"/>
        <v>7500</v>
      </c>
      <c r="G364" s="86">
        <f t="shared" si="28"/>
        <v>12750</v>
      </c>
    </row>
    <row r="365" spans="1:12" x14ac:dyDescent="0.3">
      <c r="A365" s="74"/>
      <c r="B365" s="81" t="s">
        <v>58</v>
      </c>
      <c r="C365" s="52" t="s">
        <v>251</v>
      </c>
      <c r="D365" s="53" t="s">
        <v>60</v>
      </c>
      <c r="E365" s="54">
        <v>300</v>
      </c>
      <c r="F365" s="55">
        <f t="shared" si="29"/>
        <v>260</v>
      </c>
      <c r="G365" s="86">
        <f t="shared" si="28"/>
        <v>78000</v>
      </c>
    </row>
    <row r="366" spans="1:12" x14ac:dyDescent="0.3">
      <c r="A366" s="74"/>
      <c r="B366" s="81" t="s">
        <v>58</v>
      </c>
      <c r="C366" s="52" t="s">
        <v>252</v>
      </c>
      <c r="D366" s="53" t="s">
        <v>36</v>
      </c>
      <c r="E366" s="54">
        <v>0.65</v>
      </c>
      <c r="F366" s="55">
        <f t="shared" si="29"/>
        <v>50000</v>
      </c>
      <c r="G366" s="86">
        <f t="shared" si="28"/>
        <v>32500</v>
      </c>
    </row>
    <row r="367" spans="1:12" x14ac:dyDescent="0.3">
      <c r="A367" s="74"/>
      <c r="B367" s="81" t="s">
        <v>58</v>
      </c>
      <c r="C367" s="52" t="s">
        <v>61</v>
      </c>
      <c r="D367" s="53" t="s">
        <v>36</v>
      </c>
      <c r="E367" s="54">
        <v>0.65</v>
      </c>
      <c r="F367" s="55">
        <f t="shared" si="29"/>
        <v>50000</v>
      </c>
      <c r="G367" s="86">
        <f t="shared" si="28"/>
        <v>32500</v>
      </c>
      <c r="J367" s="93"/>
    </row>
    <row r="368" spans="1:12" x14ac:dyDescent="0.3">
      <c r="A368" s="74"/>
      <c r="B368" s="81" t="s">
        <v>58</v>
      </c>
      <c r="C368" s="82"/>
      <c r="D368" s="83"/>
      <c r="E368" s="84"/>
      <c r="F368" s="85"/>
      <c r="G368" s="86">
        <f t="shared" si="28"/>
        <v>0</v>
      </c>
    </row>
    <row r="369" spans="1:7" x14ac:dyDescent="0.3">
      <c r="A369" s="74"/>
      <c r="B369" s="81" t="s">
        <v>58</v>
      </c>
      <c r="C369" s="82"/>
      <c r="D369" s="83"/>
      <c r="E369" s="84"/>
      <c r="F369" s="85"/>
      <c r="G369" s="86">
        <f t="shared" si="28"/>
        <v>0</v>
      </c>
    </row>
    <row r="370" spans="1:7" x14ac:dyDescent="0.3">
      <c r="A370" s="74"/>
      <c r="B370" s="81" t="s">
        <v>58</v>
      </c>
      <c r="C370" s="82"/>
      <c r="D370" s="83"/>
      <c r="E370" s="84"/>
      <c r="F370" s="85"/>
      <c r="G370" s="86">
        <f t="shared" si="28"/>
        <v>0</v>
      </c>
    </row>
    <row r="371" spans="1:7" x14ac:dyDescent="0.3">
      <c r="A371" s="74"/>
      <c r="B371" s="81" t="s">
        <v>58</v>
      </c>
      <c r="C371" s="82"/>
      <c r="D371" s="83"/>
      <c r="E371" s="84"/>
      <c r="F371" s="85"/>
      <c r="G371" s="86"/>
    </row>
    <row r="372" spans="1:7" x14ac:dyDescent="0.3">
      <c r="A372" s="74"/>
      <c r="B372" s="81" t="s">
        <v>58</v>
      </c>
      <c r="C372" s="82"/>
      <c r="D372" s="83"/>
      <c r="E372" s="84"/>
      <c r="F372" s="85"/>
      <c r="G372" s="86"/>
    </row>
    <row r="373" spans="1:7" x14ac:dyDescent="0.3">
      <c r="A373" s="74"/>
      <c r="B373" s="81" t="s">
        <v>58</v>
      </c>
      <c r="C373" s="82"/>
      <c r="D373" s="83"/>
      <c r="E373" s="84"/>
      <c r="F373" s="85"/>
      <c r="G373" s="86"/>
    </row>
    <row r="374" spans="1:7" ht="10.8" thickBot="1" x14ac:dyDescent="0.35">
      <c r="A374" s="95"/>
      <c r="B374" s="87" t="s">
        <v>107</v>
      </c>
      <c r="C374" s="96"/>
      <c r="D374" s="89"/>
      <c r="E374" s="90"/>
      <c r="F374" s="91"/>
      <c r="G374" s="92">
        <f>SUM(G360:G373)</f>
        <v>317969.98333333334</v>
      </c>
    </row>
    <row r="375" spans="1:7" ht="10.8" thickBot="1" x14ac:dyDescent="0.35">
      <c r="A375" s="95"/>
      <c r="B375" s="95"/>
      <c r="C375" s="97"/>
      <c r="D375" s="98"/>
      <c r="E375" s="99"/>
      <c r="F375" s="100"/>
      <c r="G375" s="100"/>
    </row>
    <row r="376" spans="1:7" x14ac:dyDescent="0.3">
      <c r="A376" s="95"/>
      <c r="B376" s="101">
        <v>1</v>
      </c>
      <c r="C376" s="102" t="s">
        <v>68</v>
      </c>
      <c r="D376" s="103" t="s">
        <v>67</v>
      </c>
      <c r="E376" s="104"/>
      <c r="F376" s="105"/>
      <c r="G376" s="106">
        <f>G359</f>
        <v>665389.9444444445</v>
      </c>
    </row>
    <row r="377" spans="1:7" x14ac:dyDescent="0.3">
      <c r="A377" s="95"/>
      <c r="B377" s="107">
        <v>2</v>
      </c>
      <c r="C377" s="108" t="s">
        <v>66</v>
      </c>
      <c r="D377" s="109" t="s">
        <v>69</v>
      </c>
      <c r="E377" s="110"/>
      <c r="F377" s="111"/>
      <c r="G377" s="112">
        <f>G374</f>
        <v>317969.98333333334</v>
      </c>
    </row>
    <row r="378" spans="1:7" x14ac:dyDescent="0.3">
      <c r="A378" s="95"/>
      <c r="B378" s="107">
        <v>3</v>
      </c>
      <c r="C378" s="108" t="s">
        <v>70</v>
      </c>
      <c r="D378" s="109" t="s">
        <v>71</v>
      </c>
      <c r="E378" s="110"/>
      <c r="F378" s="111"/>
      <c r="G378" s="112"/>
    </row>
    <row r="379" spans="1:7" x14ac:dyDescent="0.3">
      <c r="A379" s="95"/>
      <c r="B379" s="107">
        <v>4</v>
      </c>
      <c r="C379" s="113" t="s">
        <v>72</v>
      </c>
      <c r="D379" s="109" t="s">
        <v>73</v>
      </c>
      <c r="E379" s="110"/>
      <c r="F379" s="111"/>
      <c r="G379" s="114">
        <f>SUM(G376:G378)</f>
        <v>983359.92777777789</v>
      </c>
    </row>
    <row r="380" spans="1:7" x14ac:dyDescent="0.3">
      <c r="A380" s="95"/>
      <c r="B380" s="107">
        <v>5</v>
      </c>
      <c r="C380" s="108" t="s">
        <v>108</v>
      </c>
      <c r="D380" s="109" t="s">
        <v>109</v>
      </c>
      <c r="E380" s="116">
        <f>E341</f>
        <v>0.25</v>
      </c>
      <c r="F380" s="111"/>
      <c r="G380" s="112">
        <f>+G379*E380</f>
        <v>245839.98194444447</v>
      </c>
    </row>
    <row r="381" spans="1:7" x14ac:dyDescent="0.3">
      <c r="A381" s="95"/>
      <c r="B381" s="107">
        <v>6</v>
      </c>
      <c r="C381" s="113" t="s">
        <v>110</v>
      </c>
      <c r="D381" s="109" t="s">
        <v>74</v>
      </c>
      <c r="E381" s="116">
        <f t="shared" ref="E381:E388" si="30">E342</f>
        <v>0</v>
      </c>
      <c r="F381" s="111"/>
      <c r="G381" s="114">
        <f>G380+G379</f>
        <v>1229199.9097222225</v>
      </c>
    </row>
    <row r="382" spans="1:7" x14ac:dyDescent="0.3">
      <c r="A382" s="95"/>
      <c r="B382" s="107">
        <v>7</v>
      </c>
      <c r="C382" s="108" t="s">
        <v>111</v>
      </c>
      <c r="D382" s="109" t="s">
        <v>112</v>
      </c>
      <c r="E382" s="116">
        <f t="shared" si="30"/>
        <v>7.0000000000000007E-2</v>
      </c>
      <c r="F382" s="111"/>
      <c r="G382" s="112">
        <f>+G381*E382</f>
        <v>86043.993680555577</v>
      </c>
    </row>
    <row r="383" spans="1:7" x14ac:dyDescent="0.3">
      <c r="A383" s="95"/>
      <c r="B383" s="107">
        <v>8</v>
      </c>
      <c r="C383" s="108" t="s">
        <v>113</v>
      </c>
      <c r="D383" s="109" t="s">
        <v>114</v>
      </c>
      <c r="E383" s="116">
        <f t="shared" si="30"/>
        <v>0.05</v>
      </c>
      <c r="F383" s="111"/>
      <c r="G383" s="112">
        <f>G381*E383</f>
        <v>61459.995486111126</v>
      </c>
    </row>
    <row r="384" spans="1:7" x14ac:dyDescent="0.3">
      <c r="A384" s="95"/>
      <c r="B384" s="107">
        <v>9</v>
      </c>
      <c r="C384" s="108" t="s">
        <v>75</v>
      </c>
      <c r="D384" s="109" t="s">
        <v>115</v>
      </c>
      <c r="E384" s="116">
        <f t="shared" si="30"/>
        <v>0.2</v>
      </c>
      <c r="F384" s="111"/>
      <c r="G384" s="112">
        <f>G381*E384</f>
        <v>245839.9819444445</v>
      </c>
    </row>
    <row r="385" spans="1:13" x14ac:dyDescent="0.3">
      <c r="A385" s="95"/>
      <c r="B385" s="107">
        <v>10</v>
      </c>
      <c r="C385" s="113" t="s">
        <v>76</v>
      </c>
      <c r="D385" s="109" t="s">
        <v>116</v>
      </c>
      <c r="E385" s="116">
        <f t="shared" si="30"/>
        <v>0</v>
      </c>
      <c r="F385" s="111"/>
      <c r="G385" s="114">
        <f>G384+G383+G382+G381</f>
        <v>1622543.8808333338</v>
      </c>
      <c r="L385" s="93"/>
    </row>
    <row r="386" spans="1:13" x14ac:dyDescent="0.3">
      <c r="A386" s="95"/>
      <c r="B386" s="107">
        <v>11</v>
      </c>
      <c r="C386" s="113" t="s">
        <v>117</v>
      </c>
      <c r="D386" s="109" t="s">
        <v>118</v>
      </c>
      <c r="E386" s="116">
        <f t="shared" si="30"/>
        <v>0</v>
      </c>
      <c r="F386" s="111"/>
      <c r="G386" s="112">
        <f>G385-G377</f>
        <v>1304573.8975000004</v>
      </c>
    </row>
    <row r="387" spans="1:13" x14ac:dyDescent="0.3">
      <c r="A387" s="95"/>
      <c r="B387" s="107">
        <v>12</v>
      </c>
      <c r="C387" s="108" t="s">
        <v>119</v>
      </c>
      <c r="D387" s="109" t="s">
        <v>77</v>
      </c>
      <c r="E387" s="116">
        <f t="shared" si="30"/>
        <v>0.1</v>
      </c>
      <c r="F387" s="111"/>
      <c r="G387" s="112">
        <f>G385*E387</f>
        <v>162254.38808333338</v>
      </c>
    </row>
    <row r="388" spans="1:13" ht="10.8" thickBot="1" x14ac:dyDescent="0.35">
      <c r="A388" s="95"/>
      <c r="B388" s="117">
        <v>13</v>
      </c>
      <c r="C388" s="88" t="s">
        <v>78</v>
      </c>
      <c r="D388" s="89"/>
      <c r="E388" s="118">
        <f t="shared" si="30"/>
        <v>0</v>
      </c>
      <c r="F388" s="91"/>
      <c r="G388" s="119">
        <f>G384*E388</f>
        <v>0</v>
      </c>
    </row>
    <row r="389" spans="1:13" ht="10.8" thickBot="1" x14ac:dyDescent="0.35">
      <c r="A389" s="95"/>
      <c r="B389" s="120"/>
      <c r="C389" s="121"/>
      <c r="D389" s="120"/>
      <c r="E389" s="122"/>
      <c r="F389" s="123"/>
      <c r="G389" s="123"/>
    </row>
    <row r="390" spans="1:13" ht="15.6" customHeight="1" thickBot="1" x14ac:dyDescent="0.35">
      <c r="A390" s="95"/>
      <c r="B390" s="228">
        <v>16</v>
      </c>
      <c r="C390" s="229" t="s">
        <v>124</v>
      </c>
      <c r="D390" s="230" t="s">
        <v>121</v>
      </c>
      <c r="E390" s="231"/>
      <c r="F390" s="232"/>
      <c r="G390" s="233">
        <f>G386+G387+G388</f>
        <v>1466828.2855833338</v>
      </c>
      <c r="J390" s="93">
        <f>J351</f>
        <v>1200</v>
      </c>
      <c r="K390" s="315">
        <f>G390/J390</f>
        <v>1222.3569046527782</v>
      </c>
      <c r="M390" s="56">
        <f>J390*E360</f>
        <v>66</v>
      </c>
    </row>
    <row r="391" spans="1:13" ht="10.8" thickBot="1" x14ac:dyDescent="0.35"/>
    <row r="392" spans="1:13" ht="10.8" thickBot="1" x14ac:dyDescent="0.35">
      <c r="A392" s="69"/>
      <c r="B392" s="70" t="s">
        <v>55</v>
      </c>
      <c r="C392" s="70" t="s">
        <v>439</v>
      </c>
      <c r="D392" s="71" t="s">
        <v>100</v>
      </c>
      <c r="E392" s="72"/>
      <c r="F392" s="72"/>
      <c r="G392" s="73"/>
    </row>
    <row r="393" spans="1:13" x14ac:dyDescent="0.3">
      <c r="A393" s="74"/>
      <c r="B393" s="128" t="s">
        <v>56</v>
      </c>
      <c r="C393" s="129" t="s">
        <v>101</v>
      </c>
      <c r="D393" s="130" t="s">
        <v>102</v>
      </c>
      <c r="E393" s="131"/>
      <c r="F393" s="132">
        <f>F354</f>
        <v>14677.888888888889</v>
      </c>
      <c r="G393" s="133">
        <f>E393*F393</f>
        <v>0</v>
      </c>
    </row>
    <row r="394" spans="1:13" x14ac:dyDescent="0.3">
      <c r="A394" s="74"/>
      <c r="B394" s="81" t="s">
        <v>56</v>
      </c>
      <c r="C394" s="82" t="s">
        <v>103</v>
      </c>
      <c r="D394" s="83" t="s">
        <v>102</v>
      </c>
      <c r="E394" s="84">
        <f>Hoja8!S51</f>
        <v>0</v>
      </c>
      <c r="F394" s="132">
        <f>F355</f>
        <v>11344.555555555555</v>
      </c>
      <c r="G394" s="86">
        <f>E394*F394</f>
        <v>0</v>
      </c>
    </row>
    <row r="395" spans="1:13" x14ac:dyDescent="0.3">
      <c r="A395" s="74"/>
      <c r="B395" s="81" t="s">
        <v>56</v>
      </c>
      <c r="C395" s="82" t="s">
        <v>104</v>
      </c>
      <c r="D395" s="83" t="s">
        <v>102</v>
      </c>
      <c r="E395" s="84"/>
      <c r="F395" s="132">
        <f>F356</f>
        <v>10789</v>
      </c>
      <c r="G395" s="86">
        <f>E395*F395</f>
        <v>0</v>
      </c>
    </row>
    <row r="396" spans="1:13" x14ac:dyDescent="0.3">
      <c r="A396" s="74"/>
      <c r="B396" s="81" t="s">
        <v>56</v>
      </c>
      <c r="C396" s="82" t="s">
        <v>57</v>
      </c>
      <c r="D396" s="83" t="s">
        <v>102</v>
      </c>
      <c r="E396" s="84">
        <f>0.66+0.35</f>
        <v>1.01</v>
      </c>
      <c r="F396" s="132">
        <f>F357</f>
        <v>9656.8888888888887</v>
      </c>
      <c r="G396" s="86">
        <f>E396*F396</f>
        <v>9753.4577777777777</v>
      </c>
    </row>
    <row r="397" spans="1:13" x14ac:dyDescent="0.3">
      <c r="A397" s="74"/>
      <c r="B397" s="81" t="s">
        <v>56</v>
      </c>
      <c r="C397" s="82" t="s">
        <v>105</v>
      </c>
      <c r="D397" s="83" t="s">
        <v>102</v>
      </c>
      <c r="E397" s="84"/>
      <c r="F397" s="132">
        <f>F358</f>
        <v>9656.8888888888887</v>
      </c>
      <c r="G397" s="86">
        <f>E397*F397</f>
        <v>0</v>
      </c>
    </row>
    <row r="398" spans="1:13" ht="10.8" thickBot="1" x14ac:dyDescent="0.35">
      <c r="A398" s="74"/>
      <c r="B398" s="87" t="s">
        <v>106</v>
      </c>
      <c r="C398" s="88"/>
      <c r="D398" s="89"/>
      <c r="E398" s="90"/>
      <c r="F398" s="91"/>
      <c r="G398" s="92">
        <f>SUM(G393:G397)</f>
        <v>9753.4577777777777</v>
      </c>
      <c r="L398" s="93"/>
    </row>
    <row r="399" spans="1:13" x14ac:dyDescent="0.3">
      <c r="A399" s="74"/>
      <c r="B399" s="75" t="s">
        <v>58</v>
      </c>
      <c r="C399" s="52" t="s">
        <v>246</v>
      </c>
      <c r="D399" s="53" t="s">
        <v>247</v>
      </c>
      <c r="E399" s="54">
        <f>Hoja8!N51</f>
        <v>0</v>
      </c>
      <c r="F399" s="55">
        <f>F360</f>
        <v>1807030</v>
      </c>
      <c r="G399" s="80">
        <f t="shared" ref="G399:G409" si="31">E399*F399</f>
        <v>0</v>
      </c>
    </row>
    <row r="400" spans="1:13" x14ac:dyDescent="0.3">
      <c r="A400" s="74"/>
      <c r="B400" s="81" t="s">
        <v>58</v>
      </c>
      <c r="C400" s="52" t="s">
        <v>248</v>
      </c>
      <c r="D400" s="53" t="s">
        <v>60</v>
      </c>
      <c r="E400" s="54">
        <f>Hoja8!O51</f>
        <v>0</v>
      </c>
      <c r="F400" s="55">
        <f>F361</f>
        <v>7500</v>
      </c>
      <c r="G400" s="86">
        <f t="shared" si="31"/>
        <v>0</v>
      </c>
    </row>
    <row r="401" spans="1:11" x14ac:dyDescent="0.3">
      <c r="A401" s="74"/>
      <c r="B401" s="81" t="s">
        <v>58</v>
      </c>
      <c r="C401" s="52" t="s">
        <v>249</v>
      </c>
      <c r="D401" s="53" t="s">
        <v>24</v>
      </c>
      <c r="E401" s="54">
        <f>Hoja8!P51</f>
        <v>0</v>
      </c>
      <c r="F401" s="55">
        <f t="shared" ref="F401:F406" si="32">F362</f>
        <v>15104.166666666668</v>
      </c>
      <c r="G401" s="86">
        <f t="shared" si="31"/>
        <v>0</v>
      </c>
    </row>
    <row r="402" spans="1:11" x14ac:dyDescent="0.3">
      <c r="A402" s="74"/>
      <c r="B402" s="81" t="s">
        <v>58</v>
      </c>
      <c r="C402" s="52" t="s">
        <v>250</v>
      </c>
      <c r="D402" s="53" t="s">
        <v>24</v>
      </c>
      <c r="E402" s="54">
        <f>Hoja8!Q51</f>
        <v>0</v>
      </c>
      <c r="F402" s="55">
        <f t="shared" si="32"/>
        <v>37500</v>
      </c>
      <c r="G402" s="86">
        <f t="shared" si="31"/>
        <v>0</v>
      </c>
    </row>
    <row r="403" spans="1:11" x14ac:dyDescent="0.3">
      <c r="A403" s="74"/>
      <c r="B403" s="81" t="s">
        <v>58</v>
      </c>
      <c r="C403" s="52" t="s">
        <v>30</v>
      </c>
      <c r="D403" s="53" t="s">
        <v>60</v>
      </c>
      <c r="E403" s="54">
        <f>Hoja8!R51</f>
        <v>0</v>
      </c>
      <c r="F403" s="55">
        <f t="shared" si="32"/>
        <v>7500</v>
      </c>
      <c r="G403" s="86">
        <f t="shared" si="31"/>
        <v>0</v>
      </c>
    </row>
    <row r="404" spans="1:11" x14ac:dyDescent="0.3">
      <c r="A404" s="74"/>
      <c r="B404" s="81" t="s">
        <v>58</v>
      </c>
      <c r="C404" s="52" t="s">
        <v>251</v>
      </c>
      <c r="D404" s="53" t="s">
        <v>60</v>
      </c>
      <c r="E404" s="54">
        <v>0</v>
      </c>
      <c r="F404" s="55">
        <f t="shared" si="32"/>
        <v>260</v>
      </c>
      <c r="G404" s="86">
        <f t="shared" si="31"/>
        <v>0</v>
      </c>
    </row>
    <row r="405" spans="1:11" x14ac:dyDescent="0.3">
      <c r="A405" s="74"/>
      <c r="B405" s="81" t="s">
        <v>58</v>
      </c>
      <c r="C405" s="52" t="s">
        <v>252</v>
      </c>
      <c r="D405" s="53" t="s">
        <v>36</v>
      </c>
      <c r="E405" s="54">
        <v>0</v>
      </c>
      <c r="F405" s="55">
        <f t="shared" si="32"/>
        <v>50000</v>
      </c>
      <c r="G405" s="86">
        <f t="shared" si="31"/>
        <v>0</v>
      </c>
    </row>
    <row r="406" spans="1:11" x14ac:dyDescent="0.3">
      <c r="A406" s="74"/>
      <c r="B406" s="81" t="s">
        <v>58</v>
      </c>
      <c r="C406" s="52" t="s">
        <v>61</v>
      </c>
      <c r="D406" s="53" t="s">
        <v>36</v>
      </c>
      <c r="E406" s="54">
        <v>0</v>
      </c>
      <c r="F406" s="55">
        <f t="shared" si="32"/>
        <v>50000</v>
      </c>
      <c r="G406" s="86">
        <f t="shared" si="31"/>
        <v>0</v>
      </c>
      <c r="J406" s="93"/>
    </row>
    <row r="407" spans="1:11" x14ac:dyDescent="0.3">
      <c r="A407" s="74"/>
      <c r="B407" s="81" t="s">
        <v>58</v>
      </c>
      <c r="C407" s="82"/>
      <c r="D407" s="83"/>
      <c r="E407" s="84">
        <v>0</v>
      </c>
      <c r="F407" s="85"/>
      <c r="G407" s="86">
        <f t="shared" si="31"/>
        <v>0</v>
      </c>
    </row>
    <row r="408" spans="1:11" x14ac:dyDescent="0.3">
      <c r="A408" s="74"/>
      <c r="B408" s="81" t="s">
        <v>58</v>
      </c>
      <c r="C408" s="82"/>
      <c r="D408" s="83"/>
      <c r="E408" s="84"/>
      <c r="F408" s="85"/>
      <c r="G408" s="86">
        <f t="shared" si="31"/>
        <v>0</v>
      </c>
    </row>
    <row r="409" spans="1:11" x14ac:dyDescent="0.3">
      <c r="A409" s="74"/>
      <c r="B409" s="81" t="s">
        <v>58</v>
      </c>
      <c r="C409" s="82"/>
      <c r="D409" s="83"/>
      <c r="E409" s="84"/>
      <c r="F409" s="85"/>
      <c r="G409" s="86">
        <f t="shared" si="31"/>
        <v>0</v>
      </c>
    </row>
    <row r="410" spans="1:11" x14ac:dyDescent="0.3">
      <c r="A410" s="74"/>
      <c r="B410" s="81" t="s">
        <v>58</v>
      </c>
      <c r="C410" s="82"/>
      <c r="D410" s="83"/>
      <c r="E410" s="84"/>
      <c r="F410" s="85"/>
      <c r="G410" s="86"/>
    </row>
    <row r="411" spans="1:11" x14ac:dyDescent="0.3">
      <c r="A411" s="74"/>
      <c r="B411" s="81" t="s">
        <v>58</v>
      </c>
      <c r="C411" s="82"/>
      <c r="D411" s="83"/>
      <c r="E411" s="84"/>
      <c r="F411" s="85"/>
      <c r="G411" s="86"/>
    </row>
    <row r="412" spans="1:11" x14ac:dyDescent="0.3">
      <c r="A412" s="74"/>
      <c r="B412" s="81" t="s">
        <v>58</v>
      </c>
      <c r="C412" s="82"/>
      <c r="D412" s="83"/>
      <c r="E412" s="84"/>
      <c r="F412" s="85"/>
      <c r="G412" s="86"/>
    </row>
    <row r="413" spans="1:11" ht="10.8" thickBot="1" x14ac:dyDescent="0.35">
      <c r="A413" s="95"/>
      <c r="B413" s="87" t="s">
        <v>107</v>
      </c>
      <c r="C413" s="96"/>
      <c r="D413" s="89"/>
      <c r="E413" s="90"/>
      <c r="F413" s="91"/>
      <c r="G413" s="92">
        <f>SUM(G399:G412)</f>
        <v>0</v>
      </c>
    </row>
    <row r="414" spans="1:11" ht="10.8" thickBot="1" x14ac:dyDescent="0.35">
      <c r="A414" s="95"/>
      <c r="B414" s="95"/>
      <c r="C414" s="97"/>
      <c r="D414" s="98"/>
      <c r="E414" s="99"/>
      <c r="F414" s="100"/>
      <c r="G414" s="100"/>
    </row>
    <row r="415" spans="1:11" x14ac:dyDescent="0.3">
      <c r="A415" s="95"/>
      <c r="B415" s="101">
        <v>1</v>
      </c>
      <c r="C415" s="102" t="s">
        <v>68</v>
      </c>
      <c r="D415" s="103" t="s">
        <v>67</v>
      </c>
      <c r="E415" s="104"/>
      <c r="F415" s="105"/>
      <c r="G415" s="106">
        <f>G398</f>
        <v>9753.4577777777777</v>
      </c>
    </row>
    <row r="416" spans="1:11" x14ac:dyDescent="0.3">
      <c r="A416" s="95"/>
      <c r="B416" s="107">
        <v>2</v>
      </c>
      <c r="C416" s="108" t="s">
        <v>66</v>
      </c>
      <c r="D416" s="109" t="s">
        <v>69</v>
      </c>
      <c r="E416" s="110"/>
      <c r="F416" s="111"/>
      <c r="G416" s="112">
        <f>G413</f>
        <v>0</v>
      </c>
      <c r="K416" s="315">
        <f>75000/4.5</f>
        <v>16666.666666666668</v>
      </c>
    </row>
    <row r="417" spans="1:13" x14ac:dyDescent="0.3">
      <c r="A417" s="95"/>
      <c r="B417" s="107">
        <v>3</v>
      </c>
      <c r="C417" s="108" t="s">
        <v>70</v>
      </c>
      <c r="D417" s="109" t="s">
        <v>71</v>
      </c>
      <c r="E417" s="110"/>
      <c r="F417" s="111"/>
      <c r="G417" s="112">
        <v>18500</v>
      </c>
      <c r="I417" s="93">
        <f>G415+G417</f>
        <v>28253.457777777778</v>
      </c>
    </row>
    <row r="418" spans="1:13" x14ac:dyDescent="0.3">
      <c r="A418" s="95"/>
      <c r="B418" s="107">
        <v>4</v>
      </c>
      <c r="C418" s="113" t="s">
        <v>72</v>
      </c>
      <c r="D418" s="109" t="s">
        <v>73</v>
      </c>
      <c r="E418" s="110"/>
      <c r="F418" s="111"/>
      <c r="G418" s="114">
        <f>SUM(G415:G417)</f>
        <v>28253.457777777778</v>
      </c>
      <c r="I418" s="93">
        <f>I417*1.8</f>
        <v>50856.224000000002</v>
      </c>
    </row>
    <row r="419" spans="1:13" x14ac:dyDescent="0.3">
      <c r="A419" s="95"/>
      <c r="B419" s="107">
        <v>5</v>
      </c>
      <c r="C419" s="108" t="s">
        <v>108</v>
      </c>
      <c r="D419" s="109" t="s">
        <v>109</v>
      </c>
      <c r="E419" s="116">
        <v>0.2</v>
      </c>
      <c r="F419" s="111"/>
      <c r="G419" s="112">
        <f>+G418*E419</f>
        <v>5650.6915555555561</v>
      </c>
    </row>
    <row r="420" spans="1:13" x14ac:dyDescent="0.3">
      <c r="A420" s="95"/>
      <c r="B420" s="107">
        <v>6</v>
      </c>
      <c r="C420" s="113" t="s">
        <v>110</v>
      </c>
      <c r="D420" s="109" t="s">
        <v>74</v>
      </c>
      <c r="E420" s="116">
        <f t="shared" ref="E420:E427" si="33">E381</f>
        <v>0</v>
      </c>
      <c r="F420" s="111"/>
      <c r="G420" s="114">
        <f>G419+G418</f>
        <v>33904.149333333335</v>
      </c>
    </row>
    <row r="421" spans="1:13" x14ac:dyDescent="0.3">
      <c r="A421" s="95"/>
      <c r="B421" s="107">
        <v>7</v>
      </c>
      <c r="C421" s="108" t="s">
        <v>111</v>
      </c>
      <c r="D421" s="109" t="s">
        <v>112</v>
      </c>
      <c r="E421" s="116">
        <f t="shared" si="33"/>
        <v>7.0000000000000007E-2</v>
      </c>
      <c r="F421" s="111"/>
      <c r="G421" s="112">
        <f>+G420*E421</f>
        <v>2373.2904533333335</v>
      </c>
    </row>
    <row r="422" spans="1:13" x14ac:dyDescent="0.3">
      <c r="A422" s="95"/>
      <c r="B422" s="107">
        <v>8</v>
      </c>
      <c r="C422" s="108" t="s">
        <v>113</v>
      </c>
      <c r="D422" s="109" t="s">
        <v>114</v>
      </c>
      <c r="E422" s="116">
        <f t="shared" si="33"/>
        <v>0.05</v>
      </c>
      <c r="F422" s="111"/>
      <c r="G422" s="112">
        <f>G420*E422</f>
        <v>1695.2074666666667</v>
      </c>
    </row>
    <row r="423" spans="1:13" x14ac:dyDescent="0.3">
      <c r="A423" s="95"/>
      <c r="B423" s="107">
        <v>9</v>
      </c>
      <c r="C423" s="108" t="s">
        <v>75</v>
      </c>
      <c r="D423" s="109" t="s">
        <v>115</v>
      </c>
      <c r="E423" s="116">
        <v>0.25</v>
      </c>
      <c r="F423" s="111"/>
      <c r="G423" s="112">
        <f>G420*E423</f>
        <v>8476.0373333333337</v>
      </c>
    </row>
    <row r="424" spans="1:13" x14ac:dyDescent="0.3">
      <c r="A424" s="95"/>
      <c r="B424" s="107">
        <v>10</v>
      </c>
      <c r="C424" s="113" t="s">
        <v>76</v>
      </c>
      <c r="D424" s="109" t="s">
        <v>116</v>
      </c>
      <c r="E424" s="116">
        <f t="shared" si="33"/>
        <v>0</v>
      </c>
      <c r="F424" s="111"/>
      <c r="G424" s="114">
        <f>G423+G422+G421+G420</f>
        <v>46448.68458666667</v>
      </c>
      <c r="L424" s="93"/>
    </row>
    <row r="425" spans="1:13" x14ac:dyDescent="0.3">
      <c r="A425" s="95"/>
      <c r="B425" s="107">
        <v>11</v>
      </c>
      <c r="C425" s="113" t="s">
        <v>117</v>
      </c>
      <c r="D425" s="109" t="s">
        <v>118</v>
      </c>
      <c r="E425" s="116">
        <f t="shared" si="33"/>
        <v>0</v>
      </c>
      <c r="F425" s="111"/>
      <c r="G425" s="112">
        <f>G424-G416</f>
        <v>46448.68458666667</v>
      </c>
    </row>
    <row r="426" spans="1:13" x14ac:dyDescent="0.3">
      <c r="A426" s="95"/>
      <c r="B426" s="107">
        <v>12</v>
      </c>
      <c r="C426" s="108" t="s">
        <v>119</v>
      </c>
      <c r="D426" s="109" t="s">
        <v>77</v>
      </c>
      <c r="E426" s="116">
        <f t="shared" si="33"/>
        <v>0.1</v>
      </c>
      <c r="F426" s="111"/>
      <c r="G426" s="112">
        <f>G424*E426</f>
        <v>4644.8684586666668</v>
      </c>
    </row>
    <row r="427" spans="1:13" ht="10.8" thickBot="1" x14ac:dyDescent="0.35">
      <c r="A427" s="95"/>
      <c r="B427" s="117">
        <v>13</v>
      </c>
      <c r="C427" s="88" t="s">
        <v>78</v>
      </c>
      <c r="D427" s="89"/>
      <c r="E427" s="118">
        <f t="shared" si="33"/>
        <v>0</v>
      </c>
      <c r="F427" s="91"/>
      <c r="G427" s="119">
        <f>G423*E427</f>
        <v>0</v>
      </c>
    </row>
    <row r="428" spans="1:13" ht="10.8" thickBot="1" x14ac:dyDescent="0.35">
      <c r="A428" s="95"/>
      <c r="B428" s="120"/>
      <c r="C428" s="121"/>
      <c r="D428" s="120"/>
      <c r="E428" s="122"/>
      <c r="F428" s="123"/>
      <c r="G428" s="123"/>
    </row>
    <row r="429" spans="1:13" ht="15.6" customHeight="1" thickBot="1" x14ac:dyDescent="0.35">
      <c r="A429" s="95"/>
      <c r="B429" s="228">
        <v>16</v>
      </c>
      <c r="C429" s="229" t="s">
        <v>124</v>
      </c>
      <c r="D429" s="230" t="s">
        <v>121</v>
      </c>
      <c r="E429" s="231"/>
      <c r="F429" s="232"/>
      <c r="G429" s="233">
        <f>G425+G426+G427</f>
        <v>51093.553045333334</v>
      </c>
      <c r="J429" s="93">
        <f>J390</f>
        <v>1200</v>
      </c>
      <c r="K429" s="315">
        <f>G429/J429</f>
        <v>42.577960871111109</v>
      </c>
      <c r="M429" s="56">
        <f>J429*E399</f>
        <v>0</v>
      </c>
    </row>
  </sheetData>
  <dataValidations disablePrompts="1" count="1">
    <dataValidation type="list" allowBlank="1" showInputMessage="1" showErrorMessage="1" sqref="B24 B2:B7 B9:B22 B63 B41:B46 B48:B61 B180 B158:B163 B165:B178 B219 B197:B202 B204:B217 B258 B236:B241 B243:B256 B297 B275:B280 B282:B295 B336 B314:B319 B321:B334 B375 B353:B358 B360:B373 B102 B80:B85 B87:B100 B141 B119:B124 B126:B139 B414 B392:B397 B399:B412" xr:uid="{00000000-0002-0000-0400-000000000000}">
      <formula1>"Capítulo,Partida,Mano de obra,Maquinaria,Material,Otros,"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6B9C-D1C3-483B-9B2E-870AADCAD570}">
  <dimension ref="C3:T21"/>
  <sheetViews>
    <sheetView topLeftCell="A5" workbookViewId="0">
      <selection activeCell="D14" sqref="D14"/>
    </sheetView>
  </sheetViews>
  <sheetFormatPr baseColWidth="10" defaultRowHeight="19.2" customHeight="1" x14ac:dyDescent="0.3"/>
  <cols>
    <col min="1" max="1" width="11.5546875" style="45"/>
    <col min="2" max="2" width="10" style="45" customWidth="1"/>
    <col min="3" max="3" width="14.44140625" style="322" customWidth="1"/>
    <col min="4" max="10" width="8.5546875" style="45" customWidth="1"/>
    <col min="11" max="12" width="11.5546875" style="45"/>
    <col min="13" max="13" width="14.44140625" style="322" customWidth="1"/>
    <col min="14" max="20" width="8.5546875" style="45" customWidth="1"/>
    <col min="21" max="16384" width="11.5546875" style="45"/>
  </cols>
  <sheetData>
    <row r="3" spans="3:20" ht="27.6" customHeight="1" x14ac:dyDescent="0.3">
      <c r="D3" s="332" t="s">
        <v>66</v>
      </c>
      <c r="E3" s="332"/>
      <c r="F3" s="332"/>
      <c r="G3" s="332"/>
      <c r="H3" s="332"/>
      <c r="I3" s="332" t="s">
        <v>68</v>
      </c>
      <c r="J3" s="332"/>
      <c r="N3" s="332" t="s">
        <v>66</v>
      </c>
      <c r="O3" s="332"/>
      <c r="P3" s="332"/>
      <c r="Q3" s="332"/>
      <c r="R3" s="332"/>
      <c r="S3" s="332" t="s">
        <v>68</v>
      </c>
      <c r="T3" s="332"/>
    </row>
    <row r="4" spans="3:20" ht="28.8" x14ac:dyDescent="0.3">
      <c r="C4" s="322" t="s">
        <v>414</v>
      </c>
      <c r="D4" s="322" t="s">
        <v>415</v>
      </c>
      <c r="E4" s="322" t="s">
        <v>419</v>
      </c>
      <c r="F4" s="322" t="s">
        <v>416</v>
      </c>
      <c r="G4" s="322" t="s">
        <v>417</v>
      </c>
      <c r="H4" s="322" t="s">
        <v>418</v>
      </c>
      <c r="I4" s="322" t="s">
        <v>420</v>
      </c>
      <c r="J4" s="322" t="s">
        <v>421</v>
      </c>
      <c r="M4" s="322" t="s">
        <v>414</v>
      </c>
      <c r="N4" s="322" t="s">
        <v>415</v>
      </c>
      <c r="O4" s="322" t="s">
        <v>419</v>
      </c>
      <c r="P4" s="322" t="s">
        <v>416</v>
      </c>
      <c r="Q4" s="322" t="s">
        <v>417</v>
      </c>
      <c r="R4" s="322" t="s">
        <v>418</v>
      </c>
      <c r="S4" s="322" t="s">
        <v>420</v>
      </c>
      <c r="T4" s="322" t="s">
        <v>421</v>
      </c>
    </row>
    <row r="5" spans="3:20" ht="28.2" customHeight="1" x14ac:dyDescent="0.3">
      <c r="C5" s="322" t="s">
        <v>422</v>
      </c>
      <c r="D5" s="322">
        <v>0.06</v>
      </c>
      <c r="E5" s="322">
        <v>0.25</v>
      </c>
      <c r="F5" s="322"/>
      <c r="G5" s="322"/>
      <c r="H5" s="322"/>
      <c r="I5" s="322">
        <v>6.15</v>
      </c>
      <c r="J5" s="322">
        <v>11.3</v>
      </c>
      <c r="M5" s="322" t="s">
        <v>422</v>
      </c>
      <c r="N5" s="323">
        <f t="shared" ref="N5:N12" si="0">D5*D14</f>
        <v>6.6000000000000003E-2</v>
      </c>
      <c r="O5" s="323">
        <f t="shared" ref="O5:T5" si="1">E5*E14</f>
        <v>0.27500000000000002</v>
      </c>
      <c r="P5" s="323">
        <f t="shared" si="1"/>
        <v>0</v>
      </c>
      <c r="Q5" s="323">
        <f t="shared" si="1"/>
        <v>0</v>
      </c>
      <c r="R5" s="323">
        <f t="shared" si="1"/>
        <v>0</v>
      </c>
      <c r="S5" s="323">
        <f t="shared" si="1"/>
        <v>6.7650000000000006</v>
      </c>
      <c r="T5" s="323">
        <f t="shared" si="1"/>
        <v>12.430000000000001</v>
      </c>
    </row>
    <row r="6" spans="3:20" ht="28.2" customHeight="1" x14ac:dyDescent="0.3">
      <c r="C6" s="322" t="s">
        <v>271</v>
      </c>
      <c r="D6" s="322">
        <v>8.5000000000000006E-2</v>
      </c>
      <c r="E6" s="322">
        <v>0.6</v>
      </c>
      <c r="F6" s="322">
        <v>2.5</v>
      </c>
      <c r="G6" s="322">
        <v>0.36</v>
      </c>
      <c r="H6" s="322">
        <v>2</v>
      </c>
      <c r="I6" s="322">
        <v>14.35</v>
      </c>
      <c r="J6" s="322">
        <v>1.71</v>
      </c>
      <c r="M6" s="322" t="s">
        <v>271</v>
      </c>
      <c r="N6" s="323">
        <f t="shared" si="0"/>
        <v>9.3500000000000014E-2</v>
      </c>
      <c r="O6" s="323">
        <f t="shared" ref="O6:T12" si="2">E6*E15</f>
        <v>0.66</v>
      </c>
      <c r="P6" s="323">
        <f t="shared" si="2"/>
        <v>2.75</v>
      </c>
      <c r="Q6" s="323">
        <f t="shared" si="2"/>
        <v>0.39600000000000002</v>
      </c>
      <c r="R6" s="323">
        <f t="shared" si="2"/>
        <v>2.2000000000000002</v>
      </c>
      <c r="S6" s="323">
        <f t="shared" si="2"/>
        <v>15.785</v>
      </c>
      <c r="T6" s="323">
        <f t="shared" si="2"/>
        <v>1.881</v>
      </c>
    </row>
    <row r="7" spans="3:20" ht="28.2" customHeight="1" x14ac:dyDescent="0.3">
      <c r="C7" s="322" t="s">
        <v>423</v>
      </c>
      <c r="D7" s="322">
        <v>0.08</v>
      </c>
      <c r="E7" s="322">
        <v>0.6</v>
      </c>
      <c r="F7" s="322">
        <v>3</v>
      </c>
      <c r="G7" s="322">
        <v>1</v>
      </c>
      <c r="H7" s="322">
        <v>1</v>
      </c>
      <c r="I7" s="322">
        <v>19.149999999999999</v>
      </c>
      <c r="J7" s="322">
        <v>18.05</v>
      </c>
      <c r="M7" s="322" t="s">
        <v>423</v>
      </c>
      <c r="N7" s="323">
        <f t="shared" si="0"/>
        <v>8.8000000000000009E-2</v>
      </c>
      <c r="O7" s="323">
        <f t="shared" si="2"/>
        <v>0.66</v>
      </c>
      <c r="P7" s="323">
        <f t="shared" si="2"/>
        <v>3.3000000000000003</v>
      </c>
      <c r="Q7" s="323">
        <f t="shared" si="2"/>
        <v>1.1000000000000001</v>
      </c>
      <c r="R7" s="323">
        <f t="shared" si="2"/>
        <v>1.1000000000000001</v>
      </c>
      <c r="S7" s="323">
        <f t="shared" si="2"/>
        <v>21.065000000000001</v>
      </c>
      <c r="T7" s="323">
        <f t="shared" si="2"/>
        <v>19.855000000000004</v>
      </c>
    </row>
    <row r="8" spans="3:20" ht="28.2" customHeight="1" x14ac:dyDescent="0.3">
      <c r="C8" s="322" t="s">
        <v>272</v>
      </c>
      <c r="D8" s="322">
        <v>0.18</v>
      </c>
      <c r="E8" s="322">
        <v>0.84</v>
      </c>
      <c r="F8" s="322">
        <v>3.5</v>
      </c>
      <c r="G8" s="322">
        <v>1.35</v>
      </c>
      <c r="H8" s="322">
        <v>1.5</v>
      </c>
      <c r="I8" s="322">
        <v>32.15</v>
      </c>
      <c r="J8" s="322">
        <v>18.3</v>
      </c>
      <c r="M8" s="322" t="s">
        <v>272</v>
      </c>
      <c r="N8" s="323">
        <f t="shared" si="0"/>
        <v>0.19800000000000001</v>
      </c>
      <c r="O8" s="323">
        <f t="shared" si="2"/>
        <v>0.92400000000000004</v>
      </c>
      <c r="P8" s="323">
        <f t="shared" si="2"/>
        <v>3.8500000000000005</v>
      </c>
      <c r="Q8" s="323">
        <f t="shared" si="2"/>
        <v>1.4850000000000003</v>
      </c>
      <c r="R8" s="323">
        <f t="shared" si="2"/>
        <v>1.6500000000000001</v>
      </c>
      <c r="S8" s="323">
        <f t="shared" si="2"/>
        <v>35.365000000000002</v>
      </c>
      <c r="T8" s="323">
        <f t="shared" si="2"/>
        <v>20.130000000000003</v>
      </c>
    </row>
    <row r="9" spans="3:20" ht="28.2" customHeight="1" x14ac:dyDescent="0.3">
      <c r="C9" s="322" t="s">
        <v>424</v>
      </c>
      <c r="D9" s="322">
        <v>0.06</v>
      </c>
      <c r="E9" s="322">
        <v>0.6</v>
      </c>
      <c r="F9" s="322">
        <v>3.3</v>
      </c>
      <c r="G9" s="322">
        <v>0.72</v>
      </c>
      <c r="H9" s="322">
        <v>1.2</v>
      </c>
      <c r="I9" s="322">
        <v>37</v>
      </c>
      <c r="J9" s="322">
        <v>21.9</v>
      </c>
      <c r="M9" s="322" t="s">
        <v>424</v>
      </c>
      <c r="N9" s="323">
        <f t="shared" si="0"/>
        <v>6.6000000000000003E-2</v>
      </c>
      <c r="O9" s="323">
        <f t="shared" si="2"/>
        <v>0.66</v>
      </c>
      <c r="P9" s="323">
        <f t="shared" si="2"/>
        <v>3.63</v>
      </c>
      <c r="Q9" s="323">
        <f t="shared" si="2"/>
        <v>0.79200000000000004</v>
      </c>
      <c r="R9" s="323">
        <f t="shared" si="2"/>
        <v>1.32</v>
      </c>
      <c r="S9" s="323">
        <f t="shared" si="2"/>
        <v>40.700000000000003</v>
      </c>
      <c r="T9" s="323">
        <f t="shared" si="2"/>
        <v>24.09</v>
      </c>
    </row>
    <row r="10" spans="3:20" ht="28.2" customHeight="1" x14ac:dyDescent="0.3">
      <c r="C10" s="322" t="s">
        <v>425</v>
      </c>
      <c r="D10" s="322">
        <v>7.0000000000000007E-2</v>
      </c>
      <c r="E10" s="322">
        <v>0.5</v>
      </c>
      <c r="F10" s="322">
        <v>3.3</v>
      </c>
      <c r="G10" s="322">
        <v>0.26</v>
      </c>
      <c r="H10" s="322">
        <v>1.7</v>
      </c>
      <c r="I10" s="322">
        <v>30</v>
      </c>
      <c r="J10" s="322">
        <v>25</v>
      </c>
      <c r="M10" s="322" t="s">
        <v>425</v>
      </c>
      <c r="N10" s="323">
        <f t="shared" si="0"/>
        <v>7.7000000000000013E-2</v>
      </c>
      <c r="O10" s="323">
        <f t="shared" si="2"/>
        <v>0.55000000000000004</v>
      </c>
      <c r="P10" s="323">
        <f t="shared" si="2"/>
        <v>3.63</v>
      </c>
      <c r="Q10" s="323">
        <f t="shared" si="2"/>
        <v>0.28600000000000003</v>
      </c>
      <c r="R10" s="323">
        <f t="shared" si="2"/>
        <v>1.87</v>
      </c>
      <c r="S10" s="323">
        <f t="shared" si="2"/>
        <v>33</v>
      </c>
      <c r="T10" s="323">
        <f t="shared" si="2"/>
        <v>27.500000000000004</v>
      </c>
    </row>
    <row r="11" spans="3:20" ht="28.2" customHeight="1" x14ac:dyDescent="0.3">
      <c r="C11" s="322" t="s">
        <v>426</v>
      </c>
      <c r="D11" s="322">
        <v>0.05</v>
      </c>
      <c r="E11" s="322">
        <v>0.4</v>
      </c>
      <c r="F11" s="322">
        <v>2.5</v>
      </c>
      <c r="G11" s="322"/>
      <c r="H11" s="322">
        <v>1.1000000000000001</v>
      </c>
      <c r="I11" s="322">
        <v>25</v>
      </c>
      <c r="J11" s="322">
        <v>12.5</v>
      </c>
      <c r="M11" s="322" t="s">
        <v>426</v>
      </c>
      <c r="N11" s="323">
        <f t="shared" si="0"/>
        <v>5.2500000000000005E-2</v>
      </c>
      <c r="O11" s="323">
        <f t="shared" si="2"/>
        <v>0.42000000000000004</v>
      </c>
      <c r="P11" s="323">
        <f t="shared" si="2"/>
        <v>2.625</v>
      </c>
      <c r="Q11" s="323">
        <f t="shared" si="2"/>
        <v>0</v>
      </c>
      <c r="R11" s="323">
        <f t="shared" si="2"/>
        <v>1.1550000000000002</v>
      </c>
      <c r="S11" s="323">
        <f t="shared" si="2"/>
        <v>26.25</v>
      </c>
      <c r="T11" s="323">
        <f t="shared" si="2"/>
        <v>13.125</v>
      </c>
    </row>
    <row r="12" spans="3:20" ht="28.2" customHeight="1" x14ac:dyDescent="0.3">
      <c r="C12" s="322" t="s">
        <v>427</v>
      </c>
      <c r="D12" s="322">
        <v>5.5E-2</v>
      </c>
      <c r="E12" s="322">
        <v>0.45</v>
      </c>
      <c r="F12" s="322">
        <v>2</v>
      </c>
      <c r="G12" s="322">
        <v>0.78</v>
      </c>
      <c r="H12" s="322">
        <v>1.7</v>
      </c>
      <c r="I12" s="322">
        <v>39.5</v>
      </c>
      <c r="J12" s="322">
        <v>22.5</v>
      </c>
      <c r="M12" s="322" t="str">
        <f>C12</f>
        <v>ESCALERAS</v>
      </c>
      <c r="N12" s="323">
        <f t="shared" si="0"/>
        <v>5.5E-2</v>
      </c>
      <c r="O12" s="323">
        <f t="shared" si="2"/>
        <v>0.45</v>
      </c>
      <c r="P12" s="323">
        <f t="shared" si="2"/>
        <v>2</v>
      </c>
      <c r="Q12" s="323">
        <f t="shared" si="2"/>
        <v>0.78</v>
      </c>
      <c r="R12" s="323">
        <f t="shared" si="2"/>
        <v>1.7</v>
      </c>
      <c r="S12" s="323">
        <f t="shared" si="2"/>
        <v>39.5</v>
      </c>
      <c r="T12" s="323">
        <f t="shared" si="2"/>
        <v>22.5</v>
      </c>
    </row>
    <row r="13" spans="3:20" ht="28.2" customHeight="1" x14ac:dyDescent="0.3">
      <c r="D13" s="322"/>
      <c r="E13" s="322"/>
      <c r="F13" s="322"/>
      <c r="G13" s="322"/>
      <c r="H13" s="322"/>
      <c r="I13" s="322"/>
      <c r="J13" s="322"/>
      <c r="N13" s="322"/>
      <c r="O13" s="322"/>
      <c r="P13" s="322"/>
      <c r="Q13" s="322"/>
      <c r="R13" s="322"/>
      <c r="S13" s="322"/>
      <c r="T13" s="322"/>
    </row>
    <row r="14" spans="3:20" ht="28.2" customHeight="1" x14ac:dyDescent="0.3">
      <c r="D14" s="322">
        <v>1.1000000000000001</v>
      </c>
      <c r="E14" s="322">
        <f>D14</f>
        <v>1.1000000000000001</v>
      </c>
      <c r="F14" s="322">
        <f t="shared" ref="F14:J14" si="3">E14</f>
        <v>1.1000000000000001</v>
      </c>
      <c r="G14" s="322">
        <f t="shared" si="3"/>
        <v>1.1000000000000001</v>
      </c>
      <c r="H14" s="322">
        <f t="shared" si="3"/>
        <v>1.1000000000000001</v>
      </c>
      <c r="I14" s="322">
        <f t="shared" si="3"/>
        <v>1.1000000000000001</v>
      </c>
      <c r="J14" s="322">
        <f t="shared" si="3"/>
        <v>1.1000000000000001</v>
      </c>
      <c r="N14" s="322"/>
      <c r="O14" s="322"/>
      <c r="P14" s="322"/>
      <c r="Q14" s="322"/>
      <c r="R14" s="322"/>
      <c r="S14" s="322"/>
      <c r="T14" s="322"/>
    </row>
    <row r="15" spans="3:20" ht="28.2" customHeight="1" x14ac:dyDescent="0.3">
      <c r="D15" s="322">
        <v>1.1000000000000001</v>
      </c>
      <c r="E15" s="322">
        <f t="shared" ref="E15:J15" si="4">D15</f>
        <v>1.1000000000000001</v>
      </c>
      <c r="F15" s="322">
        <f t="shared" si="4"/>
        <v>1.1000000000000001</v>
      </c>
      <c r="G15" s="322">
        <f t="shared" si="4"/>
        <v>1.1000000000000001</v>
      </c>
      <c r="H15" s="322">
        <f t="shared" si="4"/>
        <v>1.1000000000000001</v>
      </c>
      <c r="I15" s="322">
        <f t="shared" si="4"/>
        <v>1.1000000000000001</v>
      </c>
      <c r="J15" s="322">
        <f t="shared" si="4"/>
        <v>1.1000000000000001</v>
      </c>
      <c r="N15" s="322"/>
      <c r="O15" s="322"/>
      <c r="P15" s="322"/>
      <c r="Q15" s="322"/>
      <c r="R15" s="322"/>
      <c r="S15" s="322"/>
      <c r="T15" s="322"/>
    </row>
    <row r="16" spans="3:20" ht="19.2" customHeight="1" x14ac:dyDescent="0.3">
      <c r="D16" s="322">
        <v>1.1000000000000001</v>
      </c>
      <c r="E16" s="322">
        <f t="shared" ref="E16:J16" si="5">D16</f>
        <v>1.1000000000000001</v>
      </c>
      <c r="F16" s="322">
        <f t="shared" si="5"/>
        <v>1.1000000000000001</v>
      </c>
      <c r="G16" s="322">
        <f t="shared" si="5"/>
        <v>1.1000000000000001</v>
      </c>
      <c r="H16" s="322">
        <f t="shared" si="5"/>
        <v>1.1000000000000001</v>
      </c>
      <c r="I16" s="322">
        <f t="shared" si="5"/>
        <v>1.1000000000000001</v>
      </c>
      <c r="J16" s="322">
        <f t="shared" si="5"/>
        <v>1.1000000000000001</v>
      </c>
      <c r="N16" s="322"/>
      <c r="O16" s="322"/>
      <c r="P16" s="322"/>
      <c r="Q16" s="322"/>
      <c r="R16" s="322"/>
      <c r="S16" s="322"/>
      <c r="T16" s="322"/>
    </row>
    <row r="17" spans="4:20" ht="19.2" customHeight="1" x14ac:dyDescent="0.3">
      <c r="D17" s="322">
        <v>1.1000000000000001</v>
      </c>
      <c r="E17" s="322">
        <f t="shared" ref="E17:J17" si="6">D17</f>
        <v>1.1000000000000001</v>
      </c>
      <c r="F17" s="322">
        <f t="shared" si="6"/>
        <v>1.1000000000000001</v>
      </c>
      <c r="G17" s="322">
        <f t="shared" si="6"/>
        <v>1.1000000000000001</v>
      </c>
      <c r="H17" s="322">
        <f t="shared" si="6"/>
        <v>1.1000000000000001</v>
      </c>
      <c r="I17" s="322">
        <f t="shared" si="6"/>
        <v>1.1000000000000001</v>
      </c>
      <c r="J17" s="322">
        <f t="shared" si="6"/>
        <v>1.1000000000000001</v>
      </c>
      <c r="N17" s="322"/>
      <c r="O17" s="322"/>
      <c r="P17" s="322"/>
      <c r="Q17" s="322"/>
      <c r="R17" s="322"/>
      <c r="S17" s="322"/>
      <c r="T17" s="322"/>
    </row>
    <row r="18" spans="4:20" ht="19.2" customHeight="1" x14ac:dyDescent="0.3">
      <c r="D18" s="322">
        <v>1.1000000000000001</v>
      </c>
      <c r="E18" s="322">
        <f t="shared" ref="E18:J18" si="7">D18</f>
        <v>1.1000000000000001</v>
      </c>
      <c r="F18" s="322">
        <f t="shared" si="7"/>
        <v>1.1000000000000001</v>
      </c>
      <c r="G18" s="322">
        <f t="shared" si="7"/>
        <v>1.1000000000000001</v>
      </c>
      <c r="H18" s="322">
        <f t="shared" si="7"/>
        <v>1.1000000000000001</v>
      </c>
      <c r="I18" s="322">
        <f t="shared" si="7"/>
        <v>1.1000000000000001</v>
      </c>
      <c r="J18" s="322">
        <f t="shared" si="7"/>
        <v>1.1000000000000001</v>
      </c>
      <c r="N18" s="322"/>
      <c r="O18" s="322"/>
      <c r="P18" s="322"/>
      <c r="Q18" s="322"/>
      <c r="R18" s="322"/>
      <c r="S18" s="322"/>
      <c r="T18" s="322"/>
    </row>
    <row r="19" spans="4:20" ht="19.2" customHeight="1" x14ac:dyDescent="0.3">
      <c r="D19" s="322">
        <v>1.1000000000000001</v>
      </c>
      <c r="E19" s="322">
        <f t="shared" ref="E19:J19" si="8">D19</f>
        <v>1.1000000000000001</v>
      </c>
      <c r="F19" s="322">
        <f t="shared" si="8"/>
        <v>1.1000000000000001</v>
      </c>
      <c r="G19" s="322">
        <f t="shared" si="8"/>
        <v>1.1000000000000001</v>
      </c>
      <c r="H19" s="322">
        <f t="shared" si="8"/>
        <v>1.1000000000000001</v>
      </c>
      <c r="I19" s="322">
        <f t="shared" si="8"/>
        <v>1.1000000000000001</v>
      </c>
      <c r="J19" s="322">
        <f t="shared" si="8"/>
        <v>1.1000000000000001</v>
      </c>
      <c r="N19" s="322"/>
      <c r="O19" s="322"/>
      <c r="P19" s="322"/>
      <c r="Q19" s="322"/>
      <c r="R19" s="322"/>
      <c r="S19" s="322"/>
      <c r="T19" s="322"/>
    </row>
    <row r="20" spans="4:20" ht="19.2" customHeight="1" x14ac:dyDescent="0.3">
      <c r="D20" s="322">
        <v>1.05</v>
      </c>
      <c r="E20" s="322">
        <f t="shared" ref="E20:J21" si="9">D20</f>
        <v>1.05</v>
      </c>
      <c r="F20" s="322">
        <f t="shared" si="9"/>
        <v>1.05</v>
      </c>
      <c r="G20" s="322">
        <f t="shared" si="9"/>
        <v>1.05</v>
      </c>
      <c r="H20" s="322">
        <f t="shared" si="9"/>
        <v>1.05</v>
      </c>
      <c r="I20" s="322">
        <f t="shared" si="9"/>
        <v>1.05</v>
      </c>
      <c r="J20" s="322">
        <f t="shared" si="9"/>
        <v>1.05</v>
      </c>
    </row>
    <row r="21" spans="4:20" ht="19.2" customHeight="1" x14ac:dyDescent="0.3">
      <c r="D21" s="322">
        <v>1</v>
      </c>
      <c r="E21" s="322">
        <f t="shared" si="9"/>
        <v>1</v>
      </c>
      <c r="F21" s="322">
        <f t="shared" si="9"/>
        <v>1</v>
      </c>
      <c r="G21" s="322">
        <f t="shared" si="9"/>
        <v>1</v>
      </c>
      <c r="H21" s="322">
        <f t="shared" si="9"/>
        <v>1</v>
      </c>
      <c r="I21" s="322">
        <f t="shared" si="9"/>
        <v>1</v>
      </c>
      <c r="J21" s="322">
        <f t="shared" si="9"/>
        <v>1</v>
      </c>
    </row>
  </sheetData>
  <mergeCells count="4">
    <mergeCell ref="D3:H3"/>
    <mergeCell ref="I3:J3"/>
    <mergeCell ref="N3:R3"/>
    <mergeCell ref="S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B045-FBBC-4919-9A6F-67052EC40AEE}">
  <dimension ref="A1:BO83"/>
  <sheetViews>
    <sheetView tabSelected="1" topLeftCell="A12" zoomScaleNormal="100" workbookViewId="0">
      <selection activeCell="G18" sqref="G18"/>
    </sheetView>
  </sheetViews>
  <sheetFormatPr baseColWidth="10" defaultColWidth="11.44140625" defaultRowHeight="14.4" x14ac:dyDescent="0.3"/>
  <cols>
    <col min="1" max="1" width="6.6640625" style="18" customWidth="1"/>
    <col min="2" max="2" width="61.77734375" style="8" customWidth="1"/>
    <col min="3" max="3" width="6" style="8" customWidth="1"/>
    <col min="4" max="4" width="6.5546875" style="321" customWidth="1"/>
    <col min="5" max="5" width="13.109375" style="299" customWidth="1"/>
    <col min="6" max="6" width="27.33203125" style="307" customWidth="1"/>
    <col min="7" max="7" width="16.5546875" bestFit="1" customWidth="1"/>
    <col min="8" max="8" width="16" bestFit="1" customWidth="1"/>
    <col min="9" max="9" width="16.21875" customWidth="1"/>
    <col min="10" max="10" width="13.44140625" bestFit="1" customWidth="1"/>
    <col min="11" max="11" width="16.5546875" bestFit="1" customWidth="1"/>
    <col min="12" max="12" width="14" bestFit="1" customWidth="1"/>
    <col min="13" max="13" width="17.77734375" customWidth="1"/>
    <col min="41" max="41" width="11.44140625" style="279"/>
    <col min="48" max="48" width="14.109375" customWidth="1"/>
  </cols>
  <sheetData>
    <row r="1" spans="1:67" ht="62.4" customHeight="1" thickBot="1" x14ac:dyDescent="0.35">
      <c r="A1" s="341" t="s">
        <v>405</v>
      </c>
      <c r="B1" s="342"/>
      <c r="C1" s="342"/>
      <c r="D1" s="342"/>
      <c r="E1" s="342"/>
      <c r="F1" s="342"/>
    </row>
    <row r="2" spans="1:67" ht="129" customHeight="1" thickTop="1" x14ac:dyDescent="0.3">
      <c r="A2" s="343" t="s">
        <v>436</v>
      </c>
      <c r="B2" s="343"/>
      <c r="C2" s="343"/>
      <c r="D2" s="343"/>
      <c r="E2" s="343"/>
      <c r="F2" s="343"/>
    </row>
    <row r="3" spans="1:67" ht="82.5" customHeight="1" x14ac:dyDescent="0.3">
      <c r="A3" s="344" t="s">
        <v>435</v>
      </c>
      <c r="B3" s="344"/>
      <c r="C3" s="344"/>
      <c r="D3" s="344"/>
      <c r="E3" s="344"/>
      <c r="F3" s="344"/>
    </row>
    <row r="4" spans="1:67" ht="72" customHeight="1" x14ac:dyDescent="0.3">
      <c r="A4" s="344"/>
      <c r="B4" s="344"/>
      <c r="C4" s="344"/>
      <c r="D4" s="344"/>
      <c r="E4" s="344"/>
      <c r="F4" s="344"/>
    </row>
    <row r="5" spans="1:67" ht="23.25" customHeight="1" x14ac:dyDescent="0.3">
      <c r="A5" s="334" t="s">
        <v>295</v>
      </c>
      <c r="B5" s="334"/>
      <c r="C5" s="334"/>
      <c r="D5" s="334"/>
      <c r="E5" s="334"/>
      <c r="F5" s="173">
        <f>F29</f>
        <v>25154813.036163911</v>
      </c>
    </row>
    <row r="6" spans="1:67" ht="51.75" customHeight="1" x14ac:dyDescent="0.3">
      <c r="A6" s="42"/>
      <c r="B6" s="335" t="s">
        <v>437</v>
      </c>
      <c r="C6" s="335"/>
      <c r="D6" s="335"/>
      <c r="E6" s="335"/>
      <c r="F6" s="335"/>
    </row>
    <row r="7" spans="1:67" ht="23.25" customHeight="1" x14ac:dyDescent="0.3">
      <c r="A7" s="334"/>
      <c r="B7" s="334"/>
      <c r="C7" s="334"/>
      <c r="D7" s="334"/>
      <c r="E7" s="334"/>
      <c r="F7" s="173"/>
    </row>
    <row r="8" spans="1:67" ht="51.75" customHeight="1" x14ac:dyDescent="0.3">
      <c r="A8" s="42"/>
      <c r="B8" s="335"/>
      <c r="C8" s="335"/>
      <c r="D8" s="335"/>
      <c r="E8" s="335"/>
      <c r="F8" s="335"/>
    </row>
    <row r="9" spans="1:67" ht="210" customHeight="1" x14ac:dyDescent="0.3">
      <c r="A9" s="345" t="s">
        <v>204</v>
      </c>
      <c r="B9" s="345"/>
      <c r="C9" s="345"/>
      <c r="D9" s="345"/>
      <c r="E9" s="345"/>
      <c r="F9" s="345"/>
    </row>
    <row r="10" spans="1:67" ht="105.6" customHeight="1" x14ac:dyDescent="0.3">
      <c r="A10" s="344" t="s">
        <v>394</v>
      </c>
      <c r="B10" s="344"/>
      <c r="C10" s="344"/>
      <c r="D10" s="344"/>
      <c r="E10" s="344"/>
      <c r="F10" s="344"/>
    </row>
    <row r="11" spans="1:67" ht="34.200000000000003" customHeight="1" thickBot="1" x14ac:dyDescent="0.35">
      <c r="A11" s="42"/>
      <c r="B11" s="42"/>
      <c r="C11" s="42"/>
      <c r="D11" s="317"/>
      <c r="E11" s="292"/>
      <c r="F11" s="302"/>
    </row>
    <row r="12" spans="1:67" ht="25.2" customHeight="1" thickBot="1" x14ac:dyDescent="0.35">
      <c r="A12" s="33" t="s">
        <v>12</v>
      </c>
      <c r="B12" s="34" t="s">
        <v>13</v>
      </c>
      <c r="C12" s="35" t="s">
        <v>14</v>
      </c>
      <c r="D12" s="318" t="s">
        <v>15</v>
      </c>
      <c r="E12" s="293" t="s">
        <v>16</v>
      </c>
      <c r="F12" s="303" t="s">
        <v>17</v>
      </c>
      <c r="I12">
        <v>1.3</v>
      </c>
      <c r="L12">
        <v>1360</v>
      </c>
    </row>
    <row r="13" spans="1:67" s="2" customFormat="1" ht="25.2" customHeight="1" x14ac:dyDescent="0.3">
      <c r="A13" s="336" t="s">
        <v>0</v>
      </c>
      <c r="B13" s="337"/>
      <c r="C13" s="286"/>
      <c r="D13" s="319"/>
      <c r="E13" s="294"/>
      <c r="F13" s="287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s="279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</row>
    <row r="14" spans="1:67" ht="25.2" customHeight="1" x14ac:dyDescent="0.3">
      <c r="A14" s="277" t="s">
        <v>1</v>
      </c>
      <c r="B14" s="309" t="s">
        <v>440</v>
      </c>
      <c r="C14" s="310" t="s">
        <v>2</v>
      </c>
      <c r="D14" s="320">
        <v>3</v>
      </c>
      <c r="E14" s="298">
        <v>269.16000000000003</v>
      </c>
      <c r="F14" s="301">
        <f>E14*D14</f>
        <v>807.48</v>
      </c>
      <c r="H14" s="308"/>
    </row>
    <row r="15" spans="1:67" ht="25.2" customHeight="1" x14ac:dyDescent="0.3">
      <c r="A15" s="16" t="s">
        <v>18</v>
      </c>
      <c r="B15" s="39" t="s">
        <v>441</v>
      </c>
      <c r="C15" s="40" t="s">
        <v>2</v>
      </c>
      <c r="D15" s="185">
        <v>1</v>
      </c>
      <c r="E15" s="295">
        <v>1230</v>
      </c>
      <c r="F15" s="238">
        <f>E15*D15</f>
        <v>1230</v>
      </c>
    </row>
    <row r="16" spans="1:67" ht="25.2" customHeight="1" thickBot="1" x14ac:dyDescent="0.35">
      <c r="A16" s="16"/>
      <c r="B16" s="282"/>
      <c r="C16" s="283"/>
      <c r="D16" s="346" t="s">
        <v>6</v>
      </c>
      <c r="E16" s="347"/>
      <c r="F16" s="239">
        <f>SUM(F14:F15)</f>
        <v>2037.48</v>
      </c>
    </row>
    <row r="17" spans="1:67" s="2" customFormat="1" ht="25.2" customHeight="1" x14ac:dyDescent="0.3">
      <c r="A17" s="336" t="s">
        <v>393</v>
      </c>
      <c r="B17" s="337"/>
      <c r="C17" s="338"/>
      <c r="D17" s="338"/>
      <c r="E17" s="338"/>
      <c r="F17" s="287"/>
      <c r="G17"/>
      <c r="H17"/>
      <c r="I17"/>
      <c r="J17"/>
      <c r="K17" s="187">
        <f>SUM(J18:J21)</f>
        <v>102.1015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s="279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</row>
    <row r="18" spans="1:67" ht="29.4" customHeight="1" x14ac:dyDescent="0.3">
      <c r="A18" s="16" t="s">
        <v>3</v>
      </c>
      <c r="B18" s="6" t="s">
        <v>442</v>
      </c>
      <c r="C18" s="40" t="s">
        <v>2</v>
      </c>
      <c r="D18" s="185">
        <f>(55.54*3)*2.5+25*3</f>
        <v>491.55</v>
      </c>
      <c r="E18" s="242">
        <f>Hoja6!G429</f>
        <v>51093.553045333334</v>
      </c>
      <c r="F18" s="384">
        <f>E18*D18</f>
        <v>25115035.999433599</v>
      </c>
      <c r="H18" s="187">
        <v>5.96</v>
      </c>
      <c r="I18">
        <v>1.85</v>
      </c>
      <c r="J18" s="187">
        <f>I18*H18</f>
        <v>11.026</v>
      </c>
      <c r="L18" t="e">
        <f>#REF!</f>
        <v>#REF!</v>
      </c>
      <c r="M18" s="141" t="e">
        <f>L18*J18</f>
        <v>#REF!</v>
      </c>
    </row>
    <row r="19" spans="1:67" ht="29.4" customHeight="1" x14ac:dyDescent="0.3">
      <c r="A19" s="277" t="s">
        <v>148</v>
      </c>
      <c r="B19" s="278" t="s">
        <v>438</v>
      </c>
      <c r="C19" s="310" t="s">
        <v>2</v>
      </c>
      <c r="D19" s="320">
        <v>6</v>
      </c>
      <c r="E19" s="296">
        <f>Hoja6!K195</f>
        <v>477.15306825694432</v>
      </c>
      <c r="F19" s="301">
        <f t="shared" ref="F19" si="0">E19*D19</f>
        <v>2862.9184095416658</v>
      </c>
      <c r="H19" s="187"/>
      <c r="J19" s="187"/>
      <c r="M19" s="141"/>
    </row>
    <row r="20" spans="1:67" ht="29.4" customHeight="1" x14ac:dyDescent="0.3">
      <c r="A20" s="16" t="s">
        <v>154</v>
      </c>
      <c r="B20" s="6" t="s">
        <v>429</v>
      </c>
      <c r="C20" s="40" t="s">
        <v>2</v>
      </c>
      <c r="D20" s="185">
        <v>4.59</v>
      </c>
      <c r="E20" s="295">
        <f>Hoja6!K234</f>
        <v>548.63918748888875</v>
      </c>
      <c r="F20" s="238">
        <f t="shared" ref="F20:F22" si="1">E20*D20</f>
        <v>2518.2538705739994</v>
      </c>
      <c r="G20" s="308"/>
      <c r="H20" s="187"/>
      <c r="J20" s="187"/>
      <c r="M20" s="141"/>
    </row>
    <row r="21" spans="1:67" ht="29.4" customHeight="1" x14ac:dyDescent="0.3">
      <c r="A21" s="277" t="s">
        <v>281</v>
      </c>
      <c r="B21" s="278" t="s">
        <v>430</v>
      </c>
      <c r="C21" s="310" t="s">
        <v>2</v>
      </c>
      <c r="D21" s="320">
        <v>11.88</v>
      </c>
      <c r="E21" s="296">
        <f>Hoja6!K312</f>
        <v>1331.3828360555556</v>
      </c>
      <c r="F21" s="301">
        <f t="shared" ref="F21" si="2">E21*D21</f>
        <v>15816.828092340002</v>
      </c>
      <c r="G21" s="187"/>
      <c r="H21" s="187">
        <v>49.23</v>
      </c>
      <c r="I21">
        <f>I18</f>
        <v>1.85</v>
      </c>
      <c r="J21" s="187">
        <f t="shared" ref="J21:J22" si="3">I21*H21</f>
        <v>91.075500000000005</v>
      </c>
      <c r="L21" t="e">
        <f>L18</f>
        <v>#REF!</v>
      </c>
      <c r="M21" s="141" t="e">
        <f t="shared" ref="M21:M22" si="4">L21*J21</f>
        <v>#REF!</v>
      </c>
    </row>
    <row r="22" spans="1:67" ht="29.4" customHeight="1" x14ac:dyDescent="0.3">
      <c r="A22" s="16" t="s">
        <v>282</v>
      </c>
      <c r="B22" s="6" t="s">
        <v>431</v>
      </c>
      <c r="C22" s="40" t="s">
        <v>2</v>
      </c>
      <c r="D22" s="185">
        <v>13.68</v>
      </c>
      <c r="E22" s="295">
        <f>Hoja6!K351</f>
        <v>927.4036014374999</v>
      </c>
      <c r="F22" s="238">
        <f t="shared" si="1"/>
        <v>12686.881267664998</v>
      </c>
      <c r="G22" s="187"/>
      <c r="H22" s="288">
        <v>52.1</v>
      </c>
      <c r="I22">
        <v>1.45</v>
      </c>
      <c r="J22" s="187">
        <f t="shared" si="3"/>
        <v>75.545000000000002</v>
      </c>
      <c r="L22" t="e">
        <f>L21</f>
        <v>#REF!</v>
      </c>
      <c r="M22" s="141" t="e">
        <f t="shared" si="4"/>
        <v>#REF!</v>
      </c>
    </row>
    <row r="23" spans="1:67" ht="29.4" customHeight="1" x14ac:dyDescent="0.3">
      <c r="A23" s="277" t="s">
        <v>283</v>
      </c>
      <c r="B23" s="278" t="s">
        <v>428</v>
      </c>
      <c r="C23" s="310" t="s">
        <v>2</v>
      </c>
      <c r="D23" s="320">
        <v>2.62</v>
      </c>
      <c r="E23" s="296">
        <f>Hoja6!K390</f>
        <v>1222.3569046527782</v>
      </c>
      <c r="F23" s="301">
        <f>E23*D23</f>
        <v>3202.5750901902788</v>
      </c>
      <c r="G23" s="187"/>
      <c r="H23" s="288"/>
      <c r="J23" s="187"/>
      <c r="M23" s="141"/>
    </row>
    <row r="24" spans="1:67" ht="25.2" customHeight="1" thickBot="1" x14ac:dyDescent="0.35">
      <c r="A24" s="17"/>
      <c r="B24" s="9"/>
      <c r="C24" s="10"/>
      <c r="D24" s="339" t="s">
        <v>7</v>
      </c>
      <c r="E24" s="339"/>
      <c r="F24" s="304">
        <f>SUM(F18:F23)</f>
        <v>25152123.456163909</v>
      </c>
      <c r="G24" s="187">
        <f>F24+F16</f>
        <v>25154160.93616391</v>
      </c>
      <c r="H24" s="41"/>
      <c r="J24" s="41"/>
      <c r="BC24">
        <f>BC21</f>
        <v>0</v>
      </c>
    </row>
    <row r="25" spans="1:67" s="2" customFormat="1" ht="25.2" customHeight="1" x14ac:dyDescent="0.3">
      <c r="A25" s="336" t="s">
        <v>432</v>
      </c>
      <c r="B25" s="337"/>
      <c r="C25" s="338"/>
      <c r="D25" s="338"/>
      <c r="E25" s="338"/>
      <c r="F25" s="351"/>
      <c r="G25"/>
      <c r="H25" s="41"/>
      <c r="I25" s="15"/>
      <c r="J25">
        <f>37000/60</f>
        <v>616.66666666666663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s="279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e">
        <f>#REF!</f>
        <v>#REF!</v>
      </c>
      <c r="BD25"/>
      <c r="BE25"/>
      <c r="BF25"/>
      <c r="BG25"/>
      <c r="BH25"/>
      <c r="BI25"/>
      <c r="BJ25"/>
      <c r="BK25"/>
      <c r="BL25"/>
    </row>
    <row r="26" spans="1:67" s="291" customFormat="1" ht="27.6" customHeight="1" x14ac:dyDescent="0.3">
      <c r="A26" s="16" t="s">
        <v>128</v>
      </c>
      <c r="B26" s="6" t="s">
        <v>433</v>
      </c>
      <c r="C26" s="40" t="s">
        <v>2</v>
      </c>
      <c r="D26" s="185">
        <v>1</v>
      </c>
      <c r="E26" s="295">
        <v>652.1</v>
      </c>
      <c r="F26" s="238">
        <f t="shared" ref="F26" si="5">E26*D26</f>
        <v>652.1</v>
      </c>
      <c r="H26" s="300">
        <v>1360</v>
      </c>
      <c r="I26" s="15">
        <f t="shared" ref="I26" si="6">F26*H26</f>
        <v>886856</v>
      </c>
      <c r="L26" s="291">
        <v>11</v>
      </c>
      <c r="M26" s="291">
        <v>1.95</v>
      </c>
      <c r="BC26" s="291" t="e">
        <f>#REF!</f>
        <v>#REF!</v>
      </c>
    </row>
    <row r="27" spans="1:67" ht="25.2" customHeight="1" thickBot="1" x14ac:dyDescent="0.35">
      <c r="A27" s="17"/>
      <c r="B27" s="9"/>
      <c r="C27" s="10"/>
      <c r="D27" s="339" t="s">
        <v>410</v>
      </c>
      <c r="E27" s="340"/>
      <c r="F27" s="305">
        <f>SUM(F26:F26)</f>
        <v>652.1</v>
      </c>
      <c r="H27" s="41"/>
      <c r="BC27" t="e">
        <f>#REF!</f>
        <v>#REF!</v>
      </c>
    </row>
    <row r="28" spans="1:67" ht="3.6" customHeight="1" thickBot="1" x14ac:dyDescent="0.35">
      <c r="A28" s="3"/>
      <c r="B28" s="1"/>
      <c r="C28" s="4"/>
      <c r="D28" s="185"/>
      <c r="E28" s="297"/>
      <c r="F28" s="306"/>
    </row>
    <row r="29" spans="1:67" ht="33" customHeight="1" thickBot="1" x14ac:dyDescent="0.35">
      <c r="A29" s="348" t="s">
        <v>392</v>
      </c>
      <c r="B29" s="349"/>
      <c r="C29" s="350"/>
      <c r="D29" s="350"/>
      <c r="E29" s="350"/>
      <c r="F29" s="316">
        <f>F27+F24+F16</f>
        <v>25154813.036163911</v>
      </c>
      <c r="G29" s="235">
        <f>F29/180</f>
        <v>139748.96131202174</v>
      </c>
      <c r="H29" s="15">
        <v>1300</v>
      </c>
      <c r="I29" s="15">
        <f>H29*F29</f>
        <v>32701256947.013084</v>
      </c>
      <c r="J29" s="187">
        <f>F29/60</f>
        <v>419246.88393606519</v>
      </c>
      <c r="AO29"/>
    </row>
    <row r="30" spans="1:67" ht="33" customHeight="1" x14ac:dyDescent="0.3"/>
    <row r="31" spans="1:67" ht="64.8" customHeight="1" x14ac:dyDescent="0.3"/>
    <row r="32" spans="1:67" ht="22.2" customHeight="1" x14ac:dyDescent="0.3">
      <c r="A32" s="333" t="s">
        <v>8</v>
      </c>
      <c r="B32" s="333"/>
      <c r="C32" s="333"/>
      <c r="D32" s="333"/>
      <c r="E32" s="333"/>
      <c r="F32" s="333"/>
    </row>
    <row r="33" spans="1:41" ht="22.2" customHeight="1" x14ac:dyDescent="0.3">
      <c r="A33" s="334" t="s">
        <v>294</v>
      </c>
      <c r="B33" s="334"/>
      <c r="C33" s="334"/>
      <c r="D33" s="334"/>
      <c r="E33" s="334"/>
      <c r="F33" s="334"/>
    </row>
    <row r="34" spans="1:41" ht="22.2" customHeight="1" x14ac:dyDescent="0.3">
      <c r="A34" s="333" t="s">
        <v>409</v>
      </c>
      <c r="B34" s="333"/>
      <c r="C34" s="333"/>
      <c r="D34" s="333"/>
      <c r="E34" s="333"/>
      <c r="F34" s="333"/>
    </row>
    <row r="35" spans="1:41" ht="25.2" customHeight="1" x14ac:dyDescent="0.3">
      <c r="A35" s="333" t="s">
        <v>434</v>
      </c>
      <c r="B35" s="333"/>
      <c r="C35" s="333"/>
      <c r="D35" s="333"/>
      <c r="E35" s="333"/>
      <c r="F35" s="333"/>
    </row>
    <row r="46" spans="1:41" x14ac:dyDescent="0.3">
      <c r="AO46" s="279" t="s">
        <v>376</v>
      </c>
    </row>
    <row r="47" spans="1:41" x14ac:dyDescent="0.3">
      <c r="AO47" s="279">
        <v>1.5</v>
      </c>
    </row>
    <row r="48" spans="1:41" x14ac:dyDescent="0.3">
      <c r="AO48" s="279">
        <v>1.5</v>
      </c>
    </row>
    <row r="49" spans="41:45" x14ac:dyDescent="0.3">
      <c r="AO49" s="279">
        <v>0.8</v>
      </c>
    </row>
    <row r="50" spans="41:45" x14ac:dyDescent="0.3">
      <c r="AO50" s="279">
        <v>1.3</v>
      </c>
    </row>
    <row r="51" spans="41:45" x14ac:dyDescent="0.3">
      <c r="AO51" s="279">
        <v>3.2</v>
      </c>
    </row>
    <row r="52" spans="41:45" x14ac:dyDescent="0.3">
      <c r="AO52" s="279">
        <v>3.4</v>
      </c>
    </row>
    <row r="53" spans="41:45" x14ac:dyDescent="0.3">
      <c r="AO53" s="279">
        <v>1.3</v>
      </c>
      <c r="AP53">
        <v>0.8</v>
      </c>
      <c r="AQ53">
        <v>2.1</v>
      </c>
      <c r="AR53">
        <v>3</v>
      </c>
      <c r="AS53">
        <f>AP53*AQ53*AR53</f>
        <v>5.0400000000000009</v>
      </c>
    </row>
    <row r="54" spans="41:45" x14ac:dyDescent="0.3">
      <c r="AO54" s="279">
        <v>2.5499999999999998</v>
      </c>
      <c r="AP54">
        <v>0.9</v>
      </c>
      <c r="AQ54">
        <v>2.1</v>
      </c>
      <c r="AR54">
        <v>1</v>
      </c>
      <c r="AS54">
        <f t="shared" ref="AS54:AS57" si="7">AP54*AQ54*AR54</f>
        <v>1.8900000000000001</v>
      </c>
    </row>
    <row r="55" spans="41:45" x14ac:dyDescent="0.3">
      <c r="AO55" s="279">
        <v>2.4500000000000002</v>
      </c>
      <c r="AP55">
        <v>2.2999999999999998</v>
      </c>
      <c r="AQ55">
        <v>1.7</v>
      </c>
      <c r="AR55">
        <v>1</v>
      </c>
      <c r="AS55">
        <f t="shared" si="7"/>
        <v>3.9099999999999997</v>
      </c>
    </row>
    <row r="56" spans="41:45" x14ac:dyDescent="0.3">
      <c r="AO56" s="279">
        <v>3.8</v>
      </c>
      <c r="AP56">
        <v>0.9</v>
      </c>
      <c r="AQ56">
        <v>1.5</v>
      </c>
      <c r="AR56">
        <v>2</v>
      </c>
      <c r="AS56">
        <f t="shared" si="7"/>
        <v>2.7</v>
      </c>
    </row>
    <row r="57" spans="41:45" x14ac:dyDescent="0.3">
      <c r="AO57" s="279">
        <v>0.7</v>
      </c>
      <c r="AP57">
        <v>2.2999999999999998</v>
      </c>
      <c r="AQ57">
        <v>1.9</v>
      </c>
      <c r="AR57">
        <v>1</v>
      </c>
      <c r="AS57">
        <f t="shared" si="7"/>
        <v>4.3699999999999992</v>
      </c>
    </row>
    <row r="58" spans="41:45" x14ac:dyDescent="0.3">
      <c r="AO58" s="279">
        <v>3.5</v>
      </c>
    </row>
    <row r="59" spans="41:45" x14ac:dyDescent="0.3">
      <c r="AO59" s="279">
        <v>1.6</v>
      </c>
    </row>
    <row r="60" spans="41:45" x14ac:dyDescent="0.3">
      <c r="AO60" s="279">
        <v>1.6</v>
      </c>
    </row>
    <row r="61" spans="41:45" x14ac:dyDescent="0.3">
      <c r="AO61" s="279">
        <v>1.6</v>
      </c>
    </row>
    <row r="62" spans="41:45" x14ac:dyDescent="0.3">
      <c r="AO62" s="279">
        <v>3.5</v>
      </c>
    </row>
    <row r="63" spans="41:45" x14ac:dyDescent="0.3">
      <c r="AO63" s="279">
        <v>0.8</v>
      </c>
    </row>
    <row r="64" spans="41:45" x14ac:dyDescent="0.3">
      <c r="AO64" s="279">
        <v>2.2000000000000002</v>
      </c>
    </row>
    <row r="65" spans="37:48" x14ac:dyDescent="0.3">
      <c r="AO65" s="279">
        <v>3.05</v>
      </c>
    </row>
    <row r="66" spans="37:48" x14ac:dyDescent="0.3">
      <c r="AO66" s="279">
        <v>1.5</v>
      </c>
    </row>
    <row r="67" spans="37:48" x14ac:dyDescent="0.3">
      <c r="AO67" s="279">
        <v>3.4</v>
      </c>
    </row>
    <row r="68" spans="37:48" ht="15" thickBot="1" x14ac:dyDescent="0.35">
      <c r="AO68" s="279">
        <v>1.9</v>
      </c>
    </row>
    <row r="69" spans="37:48" x14ac:dyDescent="0.3">
      <c r="AO69" s="279">
        <v>1.4</v>
      </c>
      <c r="AV69" s="280" t="s">
        <v>378</v>
      </c>
    </row>
    <row r="70" spans="37:48" ht="15" thickBot="1" x14ac:dyDescent="0.35">
      <c r="AO70" s="279">
        <f>SUM(AO47:AO69)</f>
        <v>48.55</v>
      </c>
      <c r="AP70">
        <f>AO70*2.42</f>
        <v>117.49099999999999</v>
      </c>
      <c r="AS70">
        <f>SUM(AS53:AS69)</f>
        <v>17.910000000000004</v>
      </c>
      <c r="AU70">
        <f>AP70-AS70</f>
        <v>99.580999999999989</v>
      </c>
      <c r="AV70" s="281">
        <f>AU70*8</f>
        <v>796.64799999999991</v>
      </c>
    </row>
    <row r="71" spans="37:48" x14ac:dyDescent="0.3">
      <c r="AK71">
        <f>AP70+(AP78*2)</f>
        <v>173.77099999999999</v>
      </c>
    </row>
    <row r="72" spans="37:48" x14ac:dyDescent="0.3">
      <c r="AO72" s="279">
        <v>57.764000000000003</v>
      </c>
      <c r="AP72">
        <v>2.42</v>
      </c>
      <c r="AQ72">
        <f>AP72*AO72</f>
        <v>139.78888000000001</v>
      </c>
    </row>
    <row r="76" spans="37:48" ht="15" thickBot="1" x14ac:dyDescent="0.35">
      <c r="AO76" s="279" t="s">
        <v>377</v>
      </c>
    </row>
    <row r="77" spans="37:48" x14ac:dyDescent="0.3">
      <c r="AP77">
        <v>0.8</v>
      </c>
      <c r="AQ77">
        <v>2.1</v>
      </c>
      <c r="AR77">
        <v>3</v>
      </c>
      <c r="AS77">
        <f>AP77*AQ77*AR77</f>
        <v>5.0400000000000009</v>
      </c>
      <c r="AV77" s="280" t="s">
        <v>378</v>
      </c>
    </row>
    <row r="78" spans="37:48" ht="15" thickBot="1" x14ac:dyDescent="0.35">
      <c r="AO78" s="279">
        <v>10.050000000000001</v>
      </c>
      <c r="AP78">
        <f>AO78*2.8</f>
        <v>28.14</v>
      </c>
      <c r="AU78">
        <f>AP78-AS77</f>
        <v>23.1</v>
      </c>
      <c r="AV78" s="281">
        <f>AU78*8</f>
        <v>184.8</v>
      </c>
    </row>
    <row r="83" spans="42:42" x14ac:dyDescent="0.3">
      <c r="AP83">
        <f>AP78+AP70</f>
        <v>145.63099999999997</v>
      </c>
    </row>
  </sheetData>
  <mergeCells count="21">
    <mergeCell ref="B6:F6"/>
    <mergeCell ref="A9:F9"/>
    <mergeCell ref="A10:F10"/>
    <mergeCell ref="A13:B13"/>
    <mergeCell ref="D16:E16"/>
    <mergeCell ref="A1:F1"/>
    <mergeCell ref="A2:F2"/>
    <mergeCell ref="A3:F3"/>
    <mergeCell ref="A4:F4"/>
    <mergeCell ref="A5:E5"/>
    <mergeCell ref="A35:F35"/>
    <mergeCell ref="A7:E7"/>
    <mergeCell ref="B8:F8"/>
    <mergeCell ref="A17:E17"/>
    <mergeCell ref="A32:F32"/>
    <mergeCell ref="D27:E27"/>
    <mergeCell ref="D24:E24"/>
    <mergeCell ref="A33:F33"/>
    <mergeCell ref="A34:F34"/>
    <mergeCell ref="A29:E29"/>
    <mergeCell ref="A25:F25"/>
  </mergeCells>
  <phoneticPr fontId="31" type="noConversion"/>
  <printOptions horizontalCentered="1"/>
  <pageMargins left="0.78740157480314965" right="0.39370078740157483" top="0.59055118110236227" bottom="0.98425196850393704" header="0" footer="0.19685039370078741"/>
  <pageSetup paperSize="9" scale="85" orientation="portrait" r:id="rId1"/>
  <headerFooter>
    <oddFooter xml:space="preserve">&amp;L&amp;"-,Negrita Cursiva"&amp;9&amp;K08-049ARQ. LOSA SEBASTIAN A.  
Tel: 294-4675516   &amp;C&amp;"-,Negrita Cursiva"&amp;9&amp;K08-049GRUPO SL SAS
Email: gruposl.brc@gmail.com&amp;R&amp;"-,Negrita Cursiva"&amp;9&amp;K08-049T. CONST. SERENELLI SERGIO G.
  Tel: 294-4504145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683"/>
  <sheetViews>
    <sheetView topLeftCell="B1" workbookViewId="0">
      <selection activeCell="F9" sqref="F9"/>
    </sheetView>
  </sheetViews>
  <sheetFormatPr baseColWidth="10" defaultColWidth="11.44140625" defaultRowHeight="10.199999999999999" x14ac:dyDescent="0.3"/>
  <cols>
    <col min="1" max="1" width="5.5546875" style="56" customWidth="1"/>
    <col min="2" max="2" width="25.6640625" style="56" customWidth="1"/>
    <col min="3" max="3" width="42.33203125" style="56" customWidth="1"/>
    <col min="4" max="4" width="15.33203125" style="56" customWidth="1"/>
    <col min="5" max="6" width="11.88671875" style="57" customWidth="1"/>
    <col min="7" max="7" width="12.5546875" style="57" bestFit="1" customWidth="1"/>
    <col min="8" max="8" width="3.109375" style="56" customWidth="1"/>
    <col min="9" max="9" width="11.6640625" style="56" bestFit="1" customWidth="1"/>
    <col min="10" max="10" width="14.33203125" style="56" customWidth="1"/>
    <col min="11" max="11" width="7.44140625" style="56" customWidth="1"/>
    <col min="12" max="18" width="12.44140625" style="58" customWidth="1"/>
    <col min="19" max="19" width="5.33203125" style="60" customWidth="1"/>
    <col min="20" max="32" width="12.33203125" style="58" customWidth="1"/>
    <col min="33" max="37" width="11.44140625" style="56"/>
    <col min="38" max="38" width="3" style="56" customWidth="1"/>
    <col min="39" max="41" width="11.44140625" style="56"/>
    <col min="42" max="42" width="2.6640625" style="56" customWidth="1"/>
    <col min="43" max="16384" width="11.44140625" style="56"/>
  </cols>
  <sheetData>
    <row r="1" spans="1:44" ht="45.75" customHeight="1" x14ac:dyDescent="0.3">
      <c r="N1" s="59">
        <f>SUM(L3:R3)</f>
        <v>2642901.5224782936</v>
      </c>
    </row>
    <row r="2" spans="1:44" s="61" customFormat="1" ht="49.5" customHeight="1" x14ac:dyDescent="0.3">
      <c r="E2" s="62"/>
      <c r="F2" s="62"/>
      <c r="G2" s="63"/>
      <c r="I2" s="64" t="s">
        <v>68</v>
      </c>
      <c r="L2" s="64" t="s">
        <v>84</v>
      </c>
      <c r="M2" s="65" t="s">
        <v>85</v>
      </c>
      <c r="N2" s="65" t="s">
        <v>86</v>
      </c>
      <c r="O2" s="65" t="s">
        <v>87</v>
      </c>
      <c r="P2" s="65" t="s">
        <v>88</v>
      </c>
      <c r="Q2" s="65" t="s">
        <v>89</v>
      </c>
      <c r="R2" s="65" t="s">
        <v>90</v>
      </c>
      <c r="S2" s="66"/>
      <c r="T2" s="65" t="s">
        <v>91</v>
      </c>
      <c r="U2" s="65"/>
      <c r="V2" s="65"/>
      <c r="W2" s="67"/>
      <c r="X2" s="67"/>
      <c r="Y2" s="65"/>
      <c r="Z2" s="65" t="s">
        <v>92</v>
      </c>
      <c r="AA2" s="65" t="s">
        <v>93</v>
      </c>
      <c r="AB2" s="65" t="s">
        <v>94</v>
      </c>
      <c r="AC2" s="65" t="s">
        <v>95</v>
      </c>
      <c r="AD2" s="65" t="s">
        <v>96</v>
      </c>
      <c r="AE2" s="65" t="s">
        <v>97</v>
      </c>
      <c r="AF2" s="65" t="s">
        <v>98</v>
      </c>
    </row>
    <row r="3" spans="1:44" s="61" customFormat="1" ht="28.5" customHeight="1" thickBot="1" x14ac:dyDescent="0.35">
      <c r="E3" s="62"/>
      <c r="F3" s="62"/>
      <c r="G3" s="62"/>
      <c r="I3" s="59" t="e">
        <f>SUM(I4:I1048576)</f>
        <v>#REF!</v>
      </c>
      <c r="J3" s="68" t="e">
        <f>SUM(I3,L3,M3,N3,O3,P3,Q3,R3)</f>
        <v>#REF!</v>
      </c>
      <c r="L3" s="59">
        <f t="shared" ref="L3:R3" si="0">SUM(L4:L1048576)</f>
        <v>514069.88040000008</v>
      </c>
      <c r="M3" s="59">
        <f t="shared" si="0"/>
        <v>222708.05004000006</v>
      </c>
      <c r="N3" s="59">
        <f t="shared" si="0"/>
        <v>133363.09017422222</v>
      </c>
      <c r="O3" s="59">
        <f t="shared" si="0"/>
        <v>800049.31452444464</v>
      </c>
      <c r="P3" s="59">
        <f t="shared" si="0"/>
        <v>211098.12693162667</v>
      </c>
      <c r="Q3" s="59">
        <f t="shared" si="0"/>
        <v>209788.56040800005</v>
      </c>
      <c r="R3" s="59">
        <f t="shared" si="0"/>
        <v>551824.5</v>
      </c>
      <c r="S3" s="66"/>
      <c r="T3" s="59">
        <f>SUM(T4:T1048576)</f>
        <v>401424.64444444445</v>
      </c>
      <c r="U3" s="59"/>
      <c r="V3" s="59">
        <f>SUM(V10:V87)</f>
        <v>161189.58333333337</v>
      </c>
      <c r="W3" s="59"/>
      <c r="X3" s="59"/>
      <c r="Y3" s="59">
        <f>SUM(Y10:Y87)</f>
        <v>152004.90995111113</v>
      </c>
      <c r="Z3" s="59">
        <f t="shared" ref="Z3:AF3" si="1">SUM(Z4:Z1048576)</f>
        <v>177569.8</v>
      </c>
      <c r="AA3" s="59">
        <f t="shared" si="1"/>
        <v>84229.39377777779</v>
      </c>
      <c r="AB3" s="59">
        <f t="shared" si="1"/>
        <v>36528.667466666673</v>
      </c>
      <c r="AC3" s="59">
        <f t="shared" si="1"/>
        <v>22255.782257777777</v>
      </c>
      <c r="AD3" s="59">
        <f t="shared" si="1"/>
        <v>132120.26542222223</v>
      </c>
      <c r="AE3" s="59">
        <f t="shared" si="1"/>
        <v>35779.343547733333</v>
      </c>
      <c r="AF3" s="59">
        <f t="shared" si="1"/>
        <v>35557.383119999999</v>
      </c>
      <c r="AI3" s="61">
        <v>4000</v>
      </c>
      <c r="AJ3" s="61">
        <v>1</v>
      </c>
      <c r="AK3" s="61">
        <f>AI3*AJ3</f>
        <v>4000</v>
      </c>
      <c r="AM3" s="61">
        <v>250</v>
      </c>
      <c r="AN3" s="61">
        <v>4</v>
      </c>
      <c r="AO3" s="61">
        <f>AN3*AM3*AJ3</f>
        <v>1000</v>
      </c>
      <c r="AQ3" s="61">
        <f>AO3+AK3</f>
        <v>5000</v>
      </c>
    </row>
    <row r="4" spans="1:44" s="61" customFormat="1" ht="16.5" customHeight="1" thickBot="1" x14ac:dyDescent="0.35">
      <c r="A4" s="69" t="s">
        <v>99</v>
      </c>
      <c r="B4" s="70" t="s">
        <v>55</v>
      </c>
      <c r="C4" s="70" t="s">
        <v>126</v>
      </c>
      <c r="D4" s="71" t="s">
        <v>135</v>
      </c>
      <c r="E4" s="72"/>
      <c r="F4" s="72"/>
      <c r="G4" s="73"/>
      <c r="L4" s="65"/>
      <c r="M4" s="65"/>
      <c r="N4" s="65"/>
      <c r="O4" s="65"/>
      <c r="P4" s="65"/>
      <c r="Q4" s="65"/>
      <c r="R4" s="65"/>
      <c r="S4" s="66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I4" s="61">
        <v>3500</v>
      </c>
      <c r="AJ4" s="61">
        <v>2</v>
      </c>
      <c r="AK4" s="61">
        <f>AI4*AJ4</f>
        <v>7000</v>
      </c>
      <c r="AM4" s="61">
        <v>180</v>
      </c>
      <c r="AN4" s="61">
        <v>4</v>
      </c>
      <c r="AO4" s="61">
        <f>AN4*AM4*AJ4</f>
        <v>1440</v>
      </c>
      <c r="AQ4" s="61">
        <f>AO4+AK4</f>
        <v>8440</v>
      </c>
    </row>
    <row r="5" spans="1:44" ht="12" customHeight="1" x14ac:dyDescent="0.3">
      <c r="A5" s="74"/>
      <c r="B5" s="75" t="s">
        <v>56</v>
      </c>
      <c r="C5" s="76" t="s">
        <v>101</v>
      </c>
      <c r="D5" s="77" t="s">
        <v>102</v>
      </c>
      <c r="E5" s="78"/>
      <c r="F5" s="79">
        <f>(50000+12500)/9</f>
        <v>6944.4444444444443</v>
      </c>
      <c r="G5" s="80">
        <f>E5*F5</f>
        <v>0</v>
      </c>
      <c r="AI5" s="56">
        <v>2500</v>
      </c>
      <c r="AJ5" s="56">
        <v>4</v>
      </c>
      <c r="AK5" s="61">
        <f>AI5*AJ5</f>
        <v>10000</v>
      </c>
      <c r="AL5" s="61"/>
      <c r="AM5" s="61">
        <v>180</v>
      </c>
      <c r="AN5" s="61">
        <v>4</v>
      </c>
      <c r="AO5" s="61">
        <f>AN5*AM5*AJ5</f>
        <v>2880</v>
      </c>
      <c r="AQ5" s="61">
        <f>AO5+AK5</f>
        <v>12880</v>
      </c>
    </row>
    <row r="6" spans="1:44" ht="12" customHeight="1" x14ac:dyDescent="0.3">
      <c r="A6" s="74"/>
      <c r="B6" s="81" t="s">
        <v>56</v>
      </c>
      <c r="C6" s="82" t="s">
        <v>103</v>
      </c>
      <c r="D6" s="83" t="s">
        <v>102</v>
      </c>
      <c r="E6" s="84">
        <v>1.1000000000000001</v>
      </c>
      <c r="F6" s="85">
        <f>(45000+12500)/9</f>
        <v>6388.8888888888887</v>
      </c>
      <c r="G6" s="86">
        <f>E6*F6</f>
        <v>7027.7777777777783</v>
      </c>
      <c r="AM6" s="61"/>
    </row>
    <row r="7" spans="1:44" ht="12" customHeight="1" x14ac:dyDescent="0.3">
      <c r="A7" s="74"/>
      <c r="B7" s="81" t="s">
        <v>56</v>
      </c>
      <c r="C7" s="82" t="s">
        <v>104</v>
      </c>
      <c r="D7" s="83" t="s">
        <v>102</v>
      </c>
      <c r="E7" s="84"/>
      <c r="F7" s="85">
        <f>(40000+12500)/9</f>
        <v>5833.333333333333</v>
      </c>
      <c r="G7" s="86">
        <f>E7*F7</f>
        <v>0</v>
      </c>
      <c r="AK7" s="56">
        <f>SUM(AK3:AK6)</f>
        <v>21000</v>
      </c>
      <c r="AO7" s="56">
        <f>SUM(AO3:AO6)</f>
        <v>5320</v>
      </c>
      <c r="AQ7" s="56">
        <f>SUM(AQ3:AQ6)</f>
        <v>26320</v>
      </c>
      <c r="AR7" s="56">
        <f>AQ7*50</f>
        <v>1316000</v>
      </c>
    </row>
    <row r="8" spans="1:44" ht="12" customHeight="1" x14ac:dyDescent="0.3">
      <c r="A8" s="74"/>
      <c r="B8" s="81" t="s">
        <v>56</v>
      </c>
      <c r="C8" s="82" t="s">
        <v>57</v>
      </c>
      <c r="D8" s="83" t="s">
        <v>102</v>
      </c>
      <c r="E8" s="84">
        <v>1.05</v>
      </c>
      <c r="F8" s="85">
        <f>(35000+12500)/9</f>
        <v>5277.7777777777774</v>
      </c>
      <c r="G8" s="86">
        <f>E8*F8</f>
        <v>5541.6666666666661</v>
      </c>
    </row>
    <row r="9" spans="1:44" ht="12" customHeight="1" x14ac:dyDescent="0.3">
      <c r="A9" s="74"/>
      <c r="B9" s="81" t="s">
        <v>56</v>
      </c>
      <c r="C9" s="82" t="s">
        <v>105</v>
      </c>
      <c r="D9" s="83" t="s">
        <v>102</v>
      </c>
      <c r="E9" s="84"/>
      <c r="F9" s="85">
        <f>F8</f>
        <v>5277.7777777777774</v>
      </c>
      <c r="G9" s="86">
        <f>E9*F9</f>
        <v>0</v>
      </c>
    </row>
    <row r="10" spans="1:44" ht="12" customHeight="1" thickBot="1" x14ac:dyDescent="0.35">
      <c r="A10" s="74"/>
      <c r="B10" s="87" t="s">
        <v>106</v>
      </c>
      <c r="C10" s="88"/>
      <c r="D10" s="89"/>
      <c r="E10" s="90"/>
      <c r="F10" s="91"/>
      <c r="G10" s="92">
        <f>SUM(G5:G9)</f>
        <v>12569.444444444445</v>
      </c>
      <c r="I10" s="93">
        <f>G10*K10</f>
        <v>117021.5277777778</v>
      </c>
      <c r="K10" s="94">
        <f>K31</f>
        <v>9.31</v>
      </c>
      <c r="T10" s="59">
        <f>G10</f>
        <v>12569.444444444445</v>
      </c>
      <c r="U10" s="84">
        <v>9.31</v>
      </c>
      <c r="V10" s="59">
        <f>U10*T10</f>
        <v>117021.5277777778</v>
      </c>
      <c r="W10" s="59"/>
      <c r="X10" s="59"/>
      <c r="Y10" s="59"/>
    </row>
    <row r="11" spans="1:44" ht="12" customHeight="1" x14ac:dyDescent="0.3">
      <c r="A11" s="74"/>
      <c r="B11" s="75" t="s">
        <v>58</v>
      </c>
      <c r="C11" s="52" t="s">
        <v>59</v>
      </c>
      <c r="D11" s="53" t="s">
        <v>60</v>
      </c>
      <c r="E11" s="54">
        <f>38*0.6</f>
        <v>22.8</v>
      </c>
      <c r="F11" s="55">
        <f>13000/50</f>
        <v>260</v>
      </c>
      <c r="G11" s="86">
        <f t="shared" ref="G11:G24" si="2">E11*F11</f>
        <v>5928</v>
      </c>
    </row>
    <row r="12" spans="1:44" ht="12" customHeight="1" x14ac:dyDescent="0.3">
      <c r="A12" s="74"/>
      <c r="B12" s="81" t="s">
        <v>58</v>
      </c>
      <c r="C12" s="52" t="s">
        <v>61</v>
      </c>
      <c r="D12" s="53" t="s">
        <v>36</v>
      </c>
      <c r="E12" s="54">
        <f>0.08*0.6</f>
        <v>4.8000000000000001E-2</v>
      </c>
      <c r="F12" s="55">
        <f>250000/5</f>
        <v>50000</v>
      </c>
      <c r="G12" s="86">
        <f t="shared" si="2"/>
        <v>2400</v>
      </c>
    </row>
    <row r="13" spans="1:44" ht="12" customHeight="1" x14ac:dyDescent="0.3">
      <c r="A13" s="74"/>
      <c r="B13" s="81" t="s">
        <v>58</v>
      </c>
      <c r="C13" s="52" t="s">
        <v>62</v>
      </c>
      <c r="D13" s="53" t="s">
        <v>36</v>
      </c>
      <c r="E13" s="54">
        <f>0.08*0.6</f>
        <v>4.8000000000000001E-2</v>
      </c>
      <c r="F13" s="55">
        <v>50000</v>
      </c>
      <c r="G13" s="86">
        <f t="shared" si="2"/>
        <v>2400</v>
      </c>
    </row>
    <row r="14" spans="1:44" ht="12" customHeight="1" x14ac:dyDescent="0.3">
      <c r="A14" s="74"/>
      <c r="B14" s="81" t="s">
        <v>58</v>
      </c>
      <c r="C14" s="52" t="s">
        <v>27</v>
      </c>
      <c r="D14" s="53" t="s">
        <v>60</v>
      </c>
      <c r="E14" s="54">
        <v>1</v>
      </c>
      <c r="F14" s="55">
        <v>1800</v>
      </c>
      <c r="G14" s="86">
        <f t="shared" si="2"/>
        <v>1800</v>
      </c>
      <c r="J14" s="56">
        <f>0.08*1*1</f>
        <v>0.08</v>
      </c>
    </row>
    <row r="15" spans="1:44" ht="12" customHeight="1" x14ac:dyDescent="0.3">
      <c r="A15" s="74"/>
      <c r="B15" s="81" t="s">
        <v>58</v>
      </c>
      <c r="C15" s="52" t="s">
        <v>63</v>
      </c>
      <c r="D15" s="53" t="s">
        <v>60</v>
      </c>
      <c r="E15" s="54">
        <v>2</v>
      </c>
      <c r="F15" s="55"/>
      <c r="G15" s="86">
        <f t="shared" si="2"/>
        <v>0</v>
      </c>
      <c r="J15" s="56">
        <f>J14*6*50</f>
        <v>24</v>
      </c>
      <c r="R15" s="59">
        <f>(G15+G14+G13+G12)*K10</f>
        <v>61446</v>
      </c>
    </row>
    <row r="16" spans="1:44" ht="12" customHeight="1" x14ac:dyDescent="0.3">
      <c r="A16" s="74"/>
      <c r="B16" s="81" t="s">
        <v>58</v>
      </c>
      <c r="C16" s="52" t="s">
        <v>64</v>
      </c>
      <c r="D16" s="53" t="s">
        <v>24</v>
      </c>
      <c r="E16" s="54">
        <v>1.05</v>
      </c>
      <c r="F16" s="55"/>
      <c r="G16" s="86">
        <f t="shared" si="2"/>
        <v>0</v>
      </c>
    </row>
    <row r="17" spans="1:27" ht="12" customHeight="1" x14ac:dyDescent="0.3">
      <c r="A17" s="74"/>
      <c r="B17" s="81" t="s">
        <v>58</v>
      </c>
      <c r="C17" s="52" t="s">
        <v>65</v>
      </c>
      <c r="D17" s="53" t="s">
        <v>24</v>
      </c>
      <c r="E17" s="54">
        <v>1.05</v>
      </c>
      <c r="F17" s="55"/>
      <c r="G17" s="86">
        <f t="shared" si="2"/>
        <v>0</v>
      </c>
    </row>
    <row r="18" spans="1:27" ht="12" customHeight="1" x14ac:dyDescent="0.3">
      <c r="A18" s="74"/>
      <c r="B18" s="81" t="s">
        <v>58</v>
      </c>
      <c r="C18" s="82"/>
      <c r="D18" s="83"/>
      <c r="E18" s="84"/>
      <c r="F18" s="85"/>
      <c r="G18" s="86">
        <f t="shared" si="2"/>
        <v>0</v>
      </c>
    </row>
    <row r="19" spans="1:27" ht="12" customHeight="1" x14ac:dyDescent="0.3">
      <c r="A19" s="74"/>
      <c r="B19" s="81" t="s">
        <v>58</v>
      </c>
      <c r="C19" s="82"/>
      <c r="D19" s="83"/>
      <c r="E19" s="84"/>
      <c r="F19" s="85"/>
      <c r="G19" s="86">
        <f t="shared" si="2"/>
        <v>0</v>
      </c>
    </row>
    <row r="20" spans="1:27" ht="12" customHeight="1" x14ac:dyDescent="0.3">
      <c r="A20" s="74"/>
      <c r="B20" s="81" t="s">
        <v>58</v>
      </c>
      <c r="C20" s="82"/>
      <c r="D20" s="83"/>
      <c r="E20" s="84"/>
      <c r="F20" s="85"/>
      <c r="G20" s="86">
        <f t="shared" si="2"/>
        <v>0</v>
      </c>
    </row>
    <row r="21" spans="1:27" ht="12" customHeight="1" x14ac:dyDescent="0.3">
      <c r="A21" s="74"/>
      <c r="B21" s="81" t="s">
        <v>58</v>
      </c>
      <c r="C21" s="82"/>
      <c r="D21" s="83"/>
      <c r="E21" s="84"/>
      <c r="F21" s="85"/>
      <c r="G21" s="86">
        <f t="shared" si="2"/>
        <v>0</v>
      </c>
    </row>
    <row r="22" spans="1:27" ht="12" customHeight="1" x14ac:dyDescent="0.3">
      <c r="A22" s="74"/>
      <c r="B22" s="81" t="s">
        <v>58</v>
      </c>
      <c r="C22" s="82"/>
      <c r="D22" s="83"/>
      <c r="E22" s="84"/>
      <c r="F22" s="85"/>
      <c r="G22" s="86">
        <f t="shared" si="2"/>
        <v>0</v>
      </c>
    </row>
    <row r="23" spans="1:27" ht="12" customHeight="1" x14ac:dyDescent="0.3">
      <c r="A23" s="74"/>
      <c r="B23" s="81" t="s">
        <v>58</v>
      </c>
      <c r="C23" s="82"/>
      <c r="D23" s="83"/>
      <c r="E23" s="84"/>
      <c r="F23" s="85"/>
      <c r="G23" s="86">
        <f t="shared" si="2"/>
        <v>0</v>
      </c>
    </row>
    <row r="24" spans="1:27" ht="12" customHeight="1" x14ac:dyDescent="0.3">
      <c r="A24" s="74"/>
      <c r="B24" s="81" t="s">
        <v>58</v>
      </c>
      <c r="C24" s="82"/>
      <c r="D24" s="83"/>
      <c r="E24" s="84"/>
      <c r="F24" s="85"/>
      <c r="G24" s="86">
        <f t="shared" si="2"/>
        <v>0</v>
      </c>
    </row>
    <row r="25" spans="1:27" ht="12" customHeight="1" thickBot="1" x14ac:dyDescent="0.35">
      <c r="A25" s="95"/>
      <c r="B25" s="87" t="s">
        <v>107</v>
      </c>
      <c r="C25" s="96"/>
      <c r="D25" s="89"/>
      <c r="E25" s="90"/>
      <c r="F25" s="91"/>
      <c r="G25" s="92">
        <f>SUM(G11:G24)</f>
        <v>12528</v>
      </c>
      <c r="Z25" s="59">
        <f>G25</f>
        <v>12528</v>
      </c>
    </row>
    <row r="26" spans="1:27" ht="9" customHeight="1" thickBot="1" x14ac:dyDescent="0.35">
      <c r="A26" s="95"/>
      <c r="B26" s="95"/>
      <c r="C26" s="97"/>
      <c r="D26" s="98"/>
      <c r="E26" s="99"/>
      <c r="F26" s="100"/>
      <c r="G26" s="100"/>
    </row>
    <row r="27" spans="1:27" ht="12" customHeight="1" x14ac:dyDescent="0.3">
      <c r="A27" s="95"/>
      <c r="B27" s="101">
        <v>1</v>
      </c>
      <c r="C27" s="102" t="s">
        <v>66</v>
      </c>
      <c r="D27" s="103" t="s">
        <v>67</v>
      </c>
      <c r="E27" s="104"/>
      <c r="F27" s="105"/>
      <c r="G27" s="106">
        <f>G10</f>
        <v>12569.444444444445</v>
      </c>
    </row>
    <row r="28" spans="1:27" ht="12" customHeight="1" x14ac:dyDescent="0.3">
      <c r="A28" s="95"/>
      <c r="B28" s="107">
        <v>2</v>
      </c>
      <c r="C28" s="108" t="s">
        <v>68</v>
      </c>
      <c r="D28" s="109" t="s">
        <v>69</v>
      </c>
      <c r="E28" s="110"/>
      <c r="F28" s="111"/>
      <c r="G28" s="112">
        <f>G25</f>
        <v>12528</v>
      </c>
    </row>
    <row r="29" spans="1:27" ht="12" customHeight="1" x14ac:dyDescent="0.3">
      <c r="A29" s="95"/>
      <c r="B29" s="107">
        <v>3</v>
      </c>
      <c r="C29" s="108" t="s">
        <v>70</v>
      </c>
      <c r="D29" s="109" t="s">
        <v>71</v>
      </c>
      <c r="E29" s="110"/>
      <c r="F29" s="111"/>
      <c r="G29" s="112"/>
    </row>
    <row r="30" spans="1:27" ht="12" customHeight="1" x14ac:dyDescent="0.3">
      <c r="A30" s="95"/>
      <c r="B30" s="107">
        <v>4</v>
      </c>
      <c r="C30" s="113" t="s">
        <v>72</v>
      </c>
      <c r="D30" s="109" t="s">
        <v>73</v>
      </c>
      <c r="E30" s="110"/>
      <c r="F30" s="111"/>
      <c r="G30" s="114">
        <f>SUM(G27:G29)</f>
        <v>25097.444444444445</v>
      </c>
      <c r="H30" s="93"/>
      <c r="I30" s="93"/>
      <c r="J30" s="93"/>
      <c r="K30" s="93"/>
      <c r="L30" s="59"/>
      <c r="M30" s="59"/>
      <c r="N30" s="59"/>
      <c r="O30" s="59"/>
      <c r="P30" s="59"/>
      <c r="Q30" s="59"/>
      <c r="R30" s="59"/>
      <c r="S30" s="115"/>
    </row>
    <row r="31" spans="1:27" ht="12" customHeight="1" x14ac:dyDescent="0.3">
      <c r="A31" s="95"/>
      <c r="B31" s="107">
        <v>5</v>
      </c>
      <c r="C31" s="108" t="s">
        <v>108</v>
      </c>
      <c r="D31" s="109" t="s">
        <v>109</v>
      </c>
      <c r="E31" s="116">
        <v>0.2</v>
      </c>
      <c r="F31" s="111"/>
      <c r="G31" s="112">
        <f>+G30*E31</f>
        <v>5019.4888888888891</v>
      </c>
      <c r="J31" s="93">
        <f>G31</f>
        <v>5019.4888888888891</v>
      </c>
      <c r="K31" s="84">
        <v>9.31</v>
      </c>
      <c r="L31" s="59">
        <f>K31*J31</f>
        <v>46731.441555555561</v>
      </c>
      <c r="M31" s="59"/>
      <c r="N31" s="59"/>
      <c r="O31" s="59"/>
      <c r="P31" s="59"/>
      <c r="Q31" s="59"/>
      <c r="R31" s="59"/>
      <c r="AA31" s="59">
        <f>G31</f>
        <v>5019.4888888888891</v>
      </c>
    </row>
    <row r="32" spans="1:27" ht="12" customHeight="1" x14ac:dyDescent="0.3">
      <c r="A32" s="95"/>
      <c r="B32" s="107">
        <v>6</v>
      </c>
      <c r="C32" s="113" t="s">
        <v>110</v>
      </c>
      <c r="D32" s="109" t="s">
        <v>74</v>
      </c>
      <c r="E32" s="116"/>
      <c r="F32" s="111"/>
      <c r="G32" s="114">
        <f>G31+G30</f>
        <v>30116.933333333334</v>
      </c>
    </row>
    <row r="33" spans="1:32" ht="12" customHeight="1" x14ac:dyDescent="0.3">
      <c r="A33" s="95"/>
      <c r="B33" s="107">
        <v>7</v>
      </c>
      <c r="C33" s="108" t="s">
        <v>111</v>
      </c>
      <c r="D33" s="109" t="s">
        <v>112</v>
      </c>
      <c r="E33" s="116">
        <v>7.0000000000000007E-2</v>
      </c>
      <c r="F33" s="111"/>
      <c r="G33" s="112">
        <f>+G32*E33</f>
        <v>2108.1853333333338</v>
      </c>
      <c r="J33" s="93">
        <f>G33</f>
        <v>2108.1853333333338</v>
      </c>
      <c r="K33" s="84">
        <v>9.31</v>
      </c>
      <c r="M33" s="59">
        <f>K33*J33</f>
        <v>19627.205453333339</v>
      </c>
      <c r="N33" s="59"/>
      <c r="O33" s="59"/>
      <c r="P33" s="59"/>
      <c r="Q33" s="59"/>
      <c r="R33" s="59"/>
      <c r="AB33" s="59">
        <f>G33</f>
        <v>2108.1853333333338</v>
      </c>
    </row>
    <row r="34" spans="1:32" ht="12" customHeight="1" x14ac:dyDescent="0.3">
      <c r="A34" s="95"/>
      <c r="B34" s="107">
        <v>8</v>
      </c>
      <c r="C34" s="108" t="s">
        <v>113</v>
      </c>
      <c r="D34" s="109" t="s">
        <v>114</v>
      </c>
      <c r="E34" s="116">
        <v>0.02</v>
      </c>
      <c r="F34" s="111"/>
      <c r="G34" s="112">
        <f>G32*E34</f>
        <v>602.33866666666665</v>
      </c>
      <c r="J34" s="93">
        <f>G34</f>
        <v>602.33866666666665</v>
      </c>
      <c r="K34" s="84">
        <v>9.31</v>
      </c>
      <c r="M34" s="59"/>
      <c r="N34" s="59">
        <f>K34*J34</f>
        <v>5607.7729866666668</v>
      </c>
      <c r="O34" s="59"/>
      <c r="P34" s="59"/>
      <c r="Q34" s="59"/>
      <c r="R34" s="59"/>
      <c r="AC34" s="59">
        <f>G34</f>
        <v>602.33866666666665</v>
      </c>
    </row>
    <row r="35" spans="1:32" ht="12" customHeight="1" x14ac:dyDescent="0.3">
      <c r="A35" s="95"/>
      <c r="B35" s="107">
        <v>9</v>
      </c>
      <c r="C35" s="108" t="s">
        <v>75</v>
      </c>
      <c r="D35" s="109" t="s">
        <v>115</v>
      </c>
      <c r="E35" s="116">
        <v>0.2</v>
      </c>
      <c r="F35" s="111"/>
      <c r="G35" s="112">
        <f>G32*E35</f>
        <v>6023.3866666666672</v>
      </c>
      <c r="J35" s="93">
        <f>G35</f>
        <v>6023.3866666666672</v>
      </c>
      <c r="K35" s="84">
        <v>9.31</v>
      </c>
      <c r="M35" s="59"/>
      <c r="N35" s="59"/>
      <c r="O35" s="59">
        <f>K35*J35</f>
        <v>56077.729866666676</v>
      </c>
      <c r="P35" s="59"/>
      <c r="Q35" s="59"/>
      <c r="R35" s="59"/>
      <c r="W35" s="59">
        <f>G35+G34+G33+G31</f>
        <v>13753.399555555556</v>
      </c>
      <c r="X35" s="58">
        <v>9.31</v>
      </c>
      <c r="Y35" s="59">
        <f>X35*W35</f>
        <v>128044.14986222223</v>
      </c>
      <c r="AD35" s="59">
        <f>G35</f>
        <v>6023.3866666666672</v>
      </c>
    </row>
    <row r="36" spans="1:32" ht="12" customHeight="1" x14ac:dyDescent="0.3">
      <c r="A36" s="95"/>
      <c r="B36" s="107">
        <v>10</v>
      </c>
      <c r="C36" s="113" t="s">
        <v>76</v>
      </c>
      <c r="D36" s="109" t="s">
        <v>116</v>
      </c>
      <c r="E36" s="116"/>
      <c r="F36" s="111"/>
      <c r="G36" s="114">
        <f>G35+G34+G33+G32</f>
        <v>38850.843999999997</v>
      </c>
      <c r="T36" s="59"/>
      <c r="U36" s="59"/>
      <c r="V36" s="59"/>
      <c r="W36" s="59"/>
      <c r="X36" s="59"/>
      <c r="Y36" s="59"/>
    </row>
    <row r="37" spans="1:32" ht="12" customHeight="1" x14ac:dyDescent="0.3">
      <c r="A37" s="95"/>
      <c r="B37" s="107">
        <v>11</v>
      </c>
      <c r="C37" s="113" t="s">
        <v>117</v>
      </c>
      <c r="D37" s="109" t="s">
        <v>118</v>
      </c>
      <c r="E37" s="116"/>
      <c r="F37" s="111"/>
      <c r="G37" s="112">
        <f>G36-G28</f>
        <v>26322.843999999997</v>
      </c>
    </row>
    <row r="38" spans="1:32" ht="12" customHeight="1" x14ac:dyDescent="0.3">
      <c r="A38" s="95"/>
      <c r="B38" s="107">
        <v>12</v>
      </c>
      <c r="C38" s="108" t="s">
        <v>119</v>
      </c>
      <c r="D38" s="109" t="s">
        <v>77</v>
      </c>
      <c r="E38" s="116">
        <v>0</v>
      </c>
      <c r="F38" s="111"/>
      <c r="G38" s="112">
        <f>G36*E38</f>
        <v>0</v>
      </c>
      <c r="J38" s="93">
        <f>G38</f>
        <v>0</v>
      </c>
      <c r="K38" s="84">
        <v>9.31</v>
      </c>
      <c r="M38" s="59"/>
      <c r="N38" s="59"/>
      <c r="O38" s="59"/>
      <c r="P38" s="59">
        <f>K38*J38</f>
        <v>0</v>
      </c>
      <c r="Q38" s="59"/>
      <c r="R38" s="59"/>
      <c r="T38" s="59"/>
      <c r="U38" s="59"/>
      <c r="V38" s="59"/>
      <c r="W38" s="59"/>
      <c r="X38" s="59"/>
      <c r="Y38" s="59"/>
      <c r="AE38" s="59">
        <f>G38</f>
        <v>0</v>
      </c>
    </row>
    <row r="39" spans="1:32" ht="12" customHeight="1" thickBot="1" x14ac:dyDescent="0.35">
      <c r="A39" s="95"/>
      <c r="B39" s="117">
        <v>13</v>
      </c>
      <c r="C39" s="88" t="s">
        <v>78</v>
      </c>
      <c r="D39" s="89"/>
      <c r="E39" s="118">
        <v>0</v>
      </c>
      <c r="F39" s="91"/>
      <c r="G39" s="119">
        <f>G35*E39</f>
        <v>0</v>
      </c>
      <c r="J39" s="93">
        <f>G39</f>
        <v>0</v>
      </c>
      <c r="K39" s="84">
        <v>9.31</v>
      </c>
      <c r="M39" s="59"/>
      <c r="N39" s="59"/>
      <c r="O39" s="59"/>
      <c r="P39" s="59"/>
      <c r="Q39" s="59">
        <f>K39*J39</f>
        <v>0</v>
      </c>
      <c r="R39" s="59"/>
      <c r="Z39" s="59"/>
      <c r="AF39" s="59">
        <f>G39</f>
        <v>0</v>
      </c>
    </row>
    <row r="40" spans="1:32" ht="8.25" customHeight="1" thickBot="1" x14ac:dyDescent="0.35">
      <c r="A40" s="95"/>
      <c r="B40" s="120"/>
      <c r="C40" s="121"/>
      <c r="D40" s="120"/>
      <c r="E40" s="122"/>
      <c r="F40" s="123"/>
      <c r="G40" s="123"/>
      <c r="Z40" s="59"/>
    </row>
    <row r="41" spans="1:32" ht="15" customHeight="1" x14ac:dyDescent="0.3">
      <c r="A41" s="95"/>
      <c r="B41" s="101">
        <v>14</v>
      </c>
      <c r="C41" s="102" t="s">
        <v>120</v>
      </c>
      <c r="D41" s="103" t="s">
        <v>121</v>
      </c>
      <c r="E41" s="104"/>
      <c r="F41" s="105"/>
      <c r="G41" s="124">
        <f>G36+G38+G39</f>
        <v>38850.843999999997</v>
      </c>
      <c r="T41" s="125"/>
      <c r="U41" s="125"/>
      <c r="V41" s="125"/>
      <c r="W41" s="125"/>
      <c r="X41" s="125"/>
      <c r="Y41" s="125"/>
    </row>
    <row r="42" spans="1:32" ht="15" customHeight="1" x14ac:dyDescent="0.3">
      <c r="A42" s="95"/>
      <c r="B42" s="107">
        <v>15</v>
      </c>
      <c r="C42" s="108" t="s">
        <v>122</v>
      </c>
      <c r="D42" s="109" t="s">
        <v>123</v>
      </c>
      <c r="E42" s="110"/>
      <c r="F42" s="111"/>
      <c r="G42" s="114">
        <f>(G36+G38+G39)*1.21</f>
        <v>47009.521239999995</v>
      </c>
      <c r="I42" s="93">
        <f>G27*2</f>
        <v>25138.888888888891</v>
      </c>
    </row>
    <row r="43" spans="1:32" ht="15" customHeight="1" x14ac:dyDescent="0.3">
      <c r="A43" s="95"/>
      <c r="B43" s="107">
        <v>16</v>
      </c>
      <c r="C43" s="108" t="s">
        <v>124</v>
      </c>
      <c r="D43" s="109" t="s">
        <v>121</v>
      </c>
      <c r="E43" s="110"/>
      <c r="F43" s="111"/>
      <c r="G43" s="126">
        <f>G37+G38+G39</f>
        <v>26322.843999999997</v>
      </c>
      <c r="I43" s="93">
        <f>G43/1335</f>
        <v>19.717486142322095</v>
      </c>
      <c r="T43" s="59"/>
      <c r="U43" s="59"/>
      <c r="V43" s="59"/>
      <c r="W43" s="59"/>
      <c r="X43" s="59"/>
      <c r="Y43" s="59"/>
    </row>
    <row r="44" spans="1:32" ht="15" customHeight="1" thickBot="1" x14ac:dyDescent="0.35">
      <c r="A44" s="95"/>
      <c r="B44" s="117">
        <v>17</v>
      </c>
      <c r="C44" s="88" t="s">
        <v>125</v>
      </c>
      <c r="D44" s="89" t="s">
        <v>123</v>
      </c>
      <c r="E44" s="90"/>
      <c r="F44" s="91"/>
      <c r="G44" s="127">
        <f>(G37+G38+G39)*1.21</f>
        <v>31850.641239999997</v>
      </c>
    </row>
    <row r="45" spans="1:32" ht="8.25" customHeight="1" thickBot="1" x14ac:dyDescent="0.35"/>
    <row r="46" spans="1:32" s="61" customFormat="1" ht="16.5" customHeight="1" thickBot="1" x14ac:dyDescent="0.35">
      <c r="A46" s="69" t="s">
        <v>18</v>
      </c>
      <c r="B46" s="70" t="s">
        <v>55</v>
      </c>
      <c r="C46" s="70" t="s">
        <v>127</v>
      </c>
      <c r="D46" s="71" t="s">
        <v>100</v>
      </c>
      <c r="E46" s="72"/>
      <c r="F46" s="72"/>
      <c r="G46" s="73"/>
      <c r="L46" s="65"/>
      <c r="M46" s="65"/>
      <c r="N46" s="65"/>
      <c r="O46" s="65"/>
      <c r="P46" s="65"/>
      <c r="Q46" s="65"/>
      <c r="R46" s="65"/>
      <c r="S46" s="66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</row>
    <row r="47" spans="1:32" ht="12" customHeight="1" x14ac:dyDescent="0.3">
      <c r="A47" s="74"/>
      <c r="B47" s="128" t="s">
        <v>56</v>
      </c>
      <c r="C47" s="129" t="s">
        <v>101</v>
      </c>
      <c r="D47" s="130" t="s">
        <v>102</v>
      </c>
      <c r="E47" s="131"/>
      <c r="F47" s="132">
        <f>F5</f>
        <v>6944.4444444444443</v>
      </c>
      <c r="G47" s="133">
        <f>E47*F47</f>
        <v>0</v>
      </c>
    </row>
    <row r="48" spans="1:32" ht="12" customHeight="1" x14ac:dyDescent="0.3">
      <c r="A48" s="74"/>
      <c r="B48" s="81" t="s">
        <v>56</v>
      </c>
      <c r="C48" s="82" t="s">
        <v>103</v>
      </c>
      <c r="D48" s="83" t="s">
        <v>102</v>
      </c>
      <c r="E48" s="84">
        <v>0.8</v>
      </c>
      <c r="F48" s="85">
        <f>F6</f>
        <v>6388.8888888888887</v>
      </c>
      <c r="G48" s="86">
        <f>E48*F48</f>
        <v>5111.1111111111113</v>
      </c>
    </row>
    <row r="49" spans="1:25" ht="12" customHeight="1" x14ac:dyDescent="0.3">
      <c r="A49" s="74"/>
      <c r="B49" s="81" t="s">
        <v>56</v>
      </c>
      <c r="C49" s="82" t="s">
        <v>104</v>
      </c>
      <c r="D49" s="83" t="s">
        <v>102</v>
      </c>
      <c r="E49" s="84"/>
      <c r="F49" s="85">
        <f>F7</f>
        <v>5833.333333333333</v>
      </c>
      <c r="G49" s="86">
        <f>E49*F49</f>
        <v>0</v>
      </c>
    </row>
    <row r="50" spans="1:25" ht="12" customHeight="1" x14ac:dyDescent="0.3">
      <c r="A50" s="74"/>
      <c r="B50" s="81" t="s">
        <v>56</v>
      </c>
      <c r="C50" s="82" t="s">
        <v>57</v>
      </c>
      <c r="D50" s="83" t="s">
        <v>102</v>
      </c>
      <c r="E50" s="84">
        <v>0.45</v>
      </c>
      <c r="F50" s="85">
        <f>F8</f>
        <v>5277.7777777777774</v>
      </c>
      <c r="G50" s="86">
        <f>E50*F50</f>
        <v>2375</v>
      </c>
    </row>
    <row r="51" spans="1:25" ht="12" customHeight="1" x14ac:dyDescent="0.3">
      <c r="A51" s="74"/>
      <c r="B51" s="81" t="s">
        <v>56</v>
      </c>
      <c r="C51" s="82" t="s">
        <v>105</v>
      </c>
      <c r="D51" s="83" t="s">
        <v>102</v>
      </c>
      <c r="E51" s="84"/>
      <c r="F51" s="85">
        <f>F9</f>
        <v>5277.7777777777774</v>
      </c>
      <c r="G51" s="86">
        <f>E51*F51</f>
        <v>0</v>
      </c>
    </row>
    <row r="52" spans="1:25" ht="12" customHeight="1" thickBot="1" x14ac:dyDescent="0.35">
      <c r="A52" s="74"/>
      <c r="B52" s="87" t="s">
        <v>106</v>
      </c>
      <c r="C52" s="88"/>
      <c r="D52" s="89"/>
      <c r="E52" s="90"/>
      <c r="F52" s="91"/>
      <c r="G52" s="92">
        <f>SUM(G47:G51)</f>
        <v>7486.1111111111113</v>
      </c>
      <c r="I52" s="93">
        <f>G52*K52</f>
        <v>44168.055555555562</v>
      </c>
      <c r="K52" s="94">
        <f>K73</f>
        <v>5.9</v>
      </c>
      <c r="T52" s="59">
        <f>G52</f>
        <v>7486.1111111111113</v>
      </c>
      <c r="U52" s="84">
        <v>5.9</v>
      </c>
      <c r="V52" s="59">
        <f>U52*T52</f>
        <v>44168.055555555562</v>
      </c>
      <c r="W52" s="59"/>
      <c r="X52" s="59"/>
      <c r="Y52" s="59"/>
    </row>
    <row r="53" spans="1:25" ht="12" customHeight="1" x14ac:dyDescent="0.3">
      <c r="A53" s="74"/>
      <c r="B53" s="75" t="s">
        <v>58</v>
      </c>
      <c r="C53" s="52" t="s">
        <v>79</v>
      </c>
      <c r="D53" s="53" t="s">
        <v>60</v>
      </c>
      <c r="E53" s="54">
        <v>0.4</v>
      </c>
      <c r="F53" s="55">
        <v>400</v>
      </c>
      <c r="G53" s="80">
        <f t="shared" ref="G53:G63" si="3">E53*F53</f>
        <v>160</v>
      </c>
    </row>
    <row r="54" spans="1:25" ht="12" customHeight="1" x14ac:dyDescent="0.3">
      <c r="A54" s="74"/>
      <c r="B54" s="81" t="s">
        <v>58</v>
      </c>
      <c r="C54" s="52" t="s">
        <v>80</v>
      </c>
      <c r="D54" s="53" t="s">
        <v>60</v>
      </c>
      <c r="E54" s="54">
        <v>4</v>
      </c>
      <c r="F54" s="55">
        <v>90</v>
      </c>
      <c r="G54" s="86">
        <f t="shared" si="3"/>
        <v>360</v>
      </c>
    </row>
    <row r="55" spans="1:25" ht="12" customHeight="1" x14ac:dyDescent="0.3">
      <c r="A55" s="74"/>
      <c r="B55" s="81" t="s">
        <v>58</v>
      </c>
      <c r="C55" s="52" t="s">
        <v>81</v>
      </c>
      <c r="D55" s="53" t="s">
        <v>82</v>
      </c>
      <c r="E55" s="54">
        <v>0.5</v>
      </c>
      <c r="F55" s="55">
        <v>200</v>
      </c>
      <c r="G55" s="86">
        <f t="shared" si="3"/>
        <v>100</v>
      </c>
    </row>
    <row r="56" spans="1:25" ht="12" customHeight="1" x14ac:dyDescent="0.3">
      <c r="A56" s="74"/>
      <c r="B56" s="81" t="s">
        <v>58</v>
      </c>
      <c r="C56" s="52" t="s">
        <v>83</v>
      </c>
      <c r="D56" s="53" t="s">
        <v>24</v>
      </c>
      <c r="E56" s="54">
        <v>1.05</v>
      </c>
      <c r="F56" s="55">
        <v>1200</v>
      </c>
      <c r="G56" s="86">
        <f t="shared" si="3"/>
        <v>1260</v>
      </c>
    </row>
    <row r="57" spans="1:25" ht="12" customHeight="1" x14ac:dyDescent="0.3">
      <c r="A57" s="74"/>
      <c r="B57" s="81" t="s">
        <v>58</v>
      </c>
      <c r="C57" s="82"/>
      <c r="D57" s="83"/>
      <c r="E57" s="84"/>
      <c r="F57" s="85"/>
      <c r="G57" s="86">
        <f t="shared" si="3"/>
        <v>0</v>
      </c>
      <c r="R57" s="59">
        <f>(G57+G56+G55+G54)*K52</f>
        <v>10148</v>
      </c>
    </row>
    <row r="58" spans="1:25" ht="12" customHeight="1" x14ac:dyDescent="0.3">
      <c r="A58" s="74"/>
      <c r="B58" s="81" t="s">
        <v>58</v>
      </c>
      <c r="C58" s="82"/>
      <c r="D58" s="83"/>
      <c r="E58" s="84"/>
      <c r="F58" s="85"/>
      <c r="G58" s="86">
        <f t="shared" si="3"/>
        <v>0</v>
      </c>
    </row>
    <row r="59" spans="1:25" ht="12" customHeight="1" x14ac:dyDescent="0.3">
      <c r="A59" s="74"/>
      <c r="B59" s="81" t="s">
        <v>58</v>
      </c>
      <c r="C59" s="82"/>
      <c r="D59" s="83"/>
      <c r="E59" s="84"/>
      <c r="F59" s="85"/>
      <c r="G59" s="86">
        <f t="shared" si="3"/>
        <v>0</v>
      </c>
    </row>
    <row r="60" spans="1:25" ht="12" customHeight="1" x14ac:dyDescent="0.3">
      <c r="A60" s="74"/>
      <c r="B60" s="81" t="s">
        <v>58</v>
      </c>
      <c r="C60" s="82"/>
      <c r="D60" s="83"/>
      <c r="E60" s="84"/>
      <c r="F60" s="85"/>
      <c r="G60" s="86">
        <f t="shared" si="3"/>
        <v>0</v>
      </c>
    </row>
    <row r="61" spans="1:25" ht="12" customHeight="1" x14ac:dyDescent="0.3">
      <c r="A61" s="74"/>
      <c r="B61" s="81" t="s">
        <v>58</v>
      </c>
      <c r="C61" s="82"/>
      <c r="D61" s="83"/>
      <c r="E61" s="84"/>
      <c r="F61" s="85"/>
      <c r="G61" s="86">
        <f t="shared" si="3"/>
        <v>0</v>
      </c>
    </row>
    <row r="62" spans="1:25" ht="12" customHeight="1" x14ac:dyDescent="0.3">
      <c r="A62" s="74"/>
      <c r="B62" s="81" t="s">
        <v>58</v>
      </c>
      <c r="C62" s="82"/>
      <c r="D62" s="83"/>
      <c r="E62" s="84"/>
      <c r="F62" s="85"/>
      <c r="G62" s="86">
        <f t="shared" si="3"/>
        <v>0</v>
      </c>
    </row>
    <row r="63" spans="1:25" ht="12" customHeight="1" x14ac:dyDescent="0.3">
      <c r="A63" s="74"/>
      <c r="B63" s="81" t="s">
        <v>58</v>
      </c>
      <c r="C63" s="82"/>
      <c r="D63" s="83"/>
      <c r="E63" s="84"/>
      <c r="F63" s="85"/>
      <c r="G63" s="86">
        <f t="shared" si="3"/>
        <v>0</v>
      </c>
    </row>
    <row r="64" spans="1:25" ht="12" customHeight="1" x14ac:dyDescent="0.3">
      <c r="A64" s="74"/>
      <c r="B64" s="81" t="s">
        <v>58</v>
      </c>
      <c r="C64" s="82"/>
      <c r="D64" s="83"/>
      <c r="E64" s="84"/>
      <c r="F64" s="85"/>
      <c r="G64" s="86"/>
    </row>
    <row r="65" spans="1:31" ht="12" customHeight="1" x14ac:dyDescent="0.3">
      <c r="A65" s="74"/>
      <c r="B65" s="81" t="s">
        <v>58</v>
      </c>
      <c r="C65" s="82"/>
      <c r="D65" s="83"/>
      <c r="E65" s="84"/>
      <c r="F65" s="85"/>
      <c r="G65" s="86"/>
    </row>
    <row r="66" spans="1:31" ht="12" customHeight="1" x14ac:dyDescent="0.3">
      <c r="A66" s="74"/>
      <c r="B66" s="81" t="s">
        <v>58</v>
      </c>
      <c r="C66" s="82"/>
      <c r="D66" s="83"/>
      <c r="E66" s="84"/>
      <c r="F66" s="85"/>
      <c r="G66" s="86"/>
    </row>
    <row r="67" spans="1:31" ht="12" customHeight="1" thickBot="1" x14ac:dyDescent="0.35">
      <c r="A67" s="95"/>
      <c r="B67" s="87" t="s">
        <v>107</v>
      </c>
      <c r="C67" s="96"/>
      <c r="D67" s="89"/>
      <c r="E67" s="90"/>
      <c r="F67" s="91"/>
      <c r="G67" s="92">
        <f>SUM(G53:G66)</f>
        <v>1880</v>
      </c>
      <c r="Z67" s="59">
        <f>G67</f>
        <v>1880</v>
      </c>
    </row>
    <row r="68" spans="1:31" ht="9" customHeight="1" thickBot="1" x14ac:dyDescent="0.35">
      <c r="A68" s="95"/>
      <c r="B68" s="95"/>
      <c r="C68" s="97"/>
      <c r="D68" s="98"/>
      <c r="E68" s="99"/>
      <c r="F68" s="100"/>
      <c r="G68" s="100"/>
    </row>
    <row r="69" spans="1:31" ht="12" customHeight="1" x14ac:dyDescent="0.3">
      <c r="A69" s="95"/>
      <c r="B69" s="101">
        <v>1</v>
      </c>
      <c r="C69" s="102" t="s">
        <v>66</v>
      </c>
      <c r="D69" s="103" t="s">
        <v>67</v>
      </c>
      <c r="E69" s="104"/>
      <c r="F69" s="105"/>
      <c r="G69" s="106">
        <f>G52</f>
        <v>7486.1111111111113</v>
      </c>
    </row>
    <row r="70" spans="1:31" ht="12" customHeight="1" x14ac:dyDescent="0.3">
      <c r="A70" s="95"/>
      <c r="B70" s="107">
        <v>2</v>
      </c>
      <c r="C70" s="108" t="s">
        <v>68</v>
      </c>
      <c r="D70" s="109" t="s">
        <v>69</v>
      </c>
      <c r="E70" s="110"/>
      <c r="F70" s="111"/>
      <c r="G70" s="112">
        <f>G67</f>
        <v>1880</v>
      </c>
    </row>
    <row r="71" spans="1:31" ht="12" customHeight="1" x14ac:dyDescent="0.3">
      <c r="A71" s="95"/>
      <c r="B71" s="107">
        <v>3</v>
      </c>
      <c r="C71" s="108" t="s">
        <v>70</v>
      </c>
      <c r="D71" s="109" t="s">
        <v>71</v>
      </c>
      <c r="E71" s="110"/>
      <c r="F71" s="111"/>
      <c r="G71" s="112"/>
    </row>
    <row r="72" spans="1:31" ht="12" customHeight="1" x14ac:dyDescent="0.3">
      <c r="A72" s="95"/>
      <c r="B72" s="107">
        <v>4</v>
      </c>
      <c r="C72" s="113" t="s">
        <v>72</v>
      </c>
      <c r="D72" s="109" t="s">
        <v>73</v>
      </c>
      <c r="E72" s="110"/>
      <c r="F72" s="111"/>
      <c r="G72" s="114">
        <f>SUM(G69:G71)</f>
        <v>9366.1111111111113</v>
      </c>
      <c r="H72" s="93"/>
      <c r="I72" s="93"/>
      <c r="J72" s="93"/>
      <c r="K72" s="93"/>
      <c r="L72" s="59"/>
      <c r="M72" s="59"/>
      <c r="N72" s="59"/>
      <c r="O72" s="59"/>
      <c r="P72" s="59"/>
      <c r="Q72" s="59"/>
      <c r="R72" s="59"/>
      <c r="S72" s="115"/>
    </row>
    <row r="73" spans="1:31" ht="12" customHeight="1" x14ac:dyDescent="0.3">
      <c r="A73" s="95"/>
      <c r="B73" s="107">
        <v>5</v>
      </c>
      <c r="C73" s="108" t="s">
        <v>108</v>
      </c>
      <c r="D73" s="109" t="s">
        <v>109</v>
      </c>
      <c r="E73" s="116">
        <v>0.12</v>
      </c>
      <c r="F73" s="111"/>
      <c r="G73" s="112">
        <f>+G72*E73</f>
        <v>1123.9333333333334</v>
      </c>
      <c r="J73" s="93">
        <f>G73</f>
        <v>1123.9333333333334</v>
      </c>
      <c r="K73" s="84">
        <v>5.9</v>
      </c>
      <c r="L73" s="59">
        <f>K73*J73</f>
        <v>6631.2066666666678</v>
      </c>
      <c r="M73" s="59"/>
      <c r="N73" s="59"/>
      <c r="O73" s="59"/>
      <c r="P73" s="59"/>
      <c r="Q73" s="59"/>
      <c r="R73" s="59"/>
      <c r="AA73" s="59">
        <f>G73</f>
        <v>1123.9333333333334</v>
      </c>
    </row>
    <row r="74" spans="1:31" ht="12" customHeight="1" x14ac:dyDescent="0.3">
      <c r="A74" s="95"/>
      <c r="B74" s="107">
        <v>6</v>
      </c>
      <c r="C74" s="113" t="s">
        <v>110</v>
      </c>
      <c r="D74" s="109" t="s">
        <v>74</v>
      </c>
      <c r="E74" s="116"/>
      <c r="F74" s="111"/>
      <c r="G74" s="114">
        <f>G73+G72</f>
        <v>10490.044444444444</v>
      </c>
    </row>
    <row r="75" spans="1:31" ht="12" customHeight="1" x14ac:dyDescent="0.3">
      <c r="A75" s="95"/>
      <c r="B75" s="107">
        <v>7</v>
      </c>
      <c r="C75" s="108" t="s">
        <v>111</v>
      </c>
      <c r="D75" s="109" t="s">
        <v>112</v>
      </c>
      <c r="E75" s="116">
        <v>0.08</v>
      </c>
      <c r="F75" s="111"/>
      <c r="G75" s="112">
        <f>+G74*E75</f>
        <v>839.20355555555557</v>
      </c>
      <c r="J75" s="93">
        <f>G75</f>
        <v>839.20355555555557</v>
      </c>
      <c r="K75" s="84">
        <v>5.9</v>
      </c>
      <c r="M75" s="59">
        <f>K75*J75</f>
        <v>4951.3009777777779</v>
      </c>
      <c r="N75" s="59"/>
      <c r="O75" s="59"/>
      <c r="P75" s="59"/>
      <c r="Q75" s="59"/>
      <c r="R75" s="59"/>
      <c r="AB75" s="59">
        <f>G75</f>
        <v>839.20355555555557</v>
      </c>
    </row>
    <row r="76" spans="1:31" ht="12" customHeight="1" x14ac:dyDescent="0.3">
      <c r="A76" s="95"/>
      <c r="B76" s="107">
        <v>8</v>
      </c>
      <c r="C76" s="108" t="s">
        <v>113</v>
      </c>
      <c r="D76" s="109" t="s">
        <v>114</v>
      </c>
      <c r="E76" s="116">
        <v>0.05</v>
      </c>
      <c r="F76" s="111"/>
      <c r="G76" s="112">
        <f>G74*E76</f>
        <v>524.50222222222226</v>
      </c>
      <c r="J76" s="93">
        <f>G76</f>
        <v>524.50222222222226</v>
      </c>
      <c r="K76" s="84">
        <v>5.9</v>
      </c>
      <c r="M76" s="59"/>
      <c r="N76" s="59">
        <f>K76*J76</f>
        <v>3094.5631111111115</v>
      </c>
      <c r="O76" s="59"/>
      <c r="P76" s="59"/>
      <c r="Q76" s="59"/>
      <c r="R76" s="59"/>
      <c r="AC76" s="59">
        <f>G76</f>
        <v>524.50222222222226</v>
      </c>
    </row>
    <row r="77" spans="1:31" ht="12" customHeight="1" x14ac:dyDescent="0.3">
      <c r="A77" s="95"/>
      <c r="B77" s="107">
        <v>9</v>
      </c>
      <c r="C77" s="108" t="s">
        <v>75</v>
      </c>
      <c r="D77" s="109" t="s">
        <v>115</v>
      </c>
      <c r="E77" s="116">
        <v>0.15</v>
      </c>
      <c r="F77" s="111"/>
      <c r="G77" s="112">
        <f>G74*E77</f>
        <v>1573.5066666666664</v>
      </c>
      <c r="J77" s="93">
        <f>G77</f>
        <v>1573.5066666666664</v>
      </c>
      <c r="K77" s="84">
        <v>5.9</v>
      </c>
      <c r="M77" s="59"/>
      <c r="N77" s="59"/>
      <c r="O77" s="59">
        <f>K77*J77</f>
        <v>9283.6893333333319</v>
      </c>
      <c r="P77" s="59"/>
      <c r="Q77" s="59"/>
      <c r="R77" s="59"/>
      <c r="W77" s="59">
        <f>G77+G76+G75+G73</f>
        <v>4061.1457777777778</v>
      </c>
      <c r="X77" s="58">
        <v>5.9</v>
      </c>
      <c r="Y77" s="59">
        <f>X77*W77</f>
        <v>23960.760088888892</v>
      </c>
      <c r="AD77" s="59">
        <f>G77</f>
        <v>1573.5066666666664</v>
      </c>
    </row>
    <row r="78" spans="1:31" ht="12" customHeight="1" x14ac:dyDescent="0.3">
      <c r="A78" s="95"/>
      <c r="B78" s="107">
        <v>10</v>
      </c>
      <c r="C78" s="113" t="s">
        <v>76</v>
      </c>
      <c r="D78" s="109" t="s">
        <v>116</v>
      </c>
      <c r="E78" s="116"/>
      <c r="F78" s="111"/>
      <c r="G78" s="114">
        <f>G77+G76+G75+G74</f>
        <v>13427.256888888889</v>
      </c>
    </row>
    <row r="79" spans="1:31" ht="12" customHeight="1" x14ac:dyDescent="0.3">
      <c r="A79" s="95"/>
      <c r="B79" s="107">
        <v>11</v>
      </c>
      <c r="C79" s="113" t="s">
        <v>117</v>
      </c>
      <c r="D79" s="109" t="s">
        <v>118</v>
      </c>
      <c r="E79" s="116"/>
      <c r="F79" s="111"/>
      <c r="G79" s="112">
        <f>G78-G70</f>
        <v>11547.256888888889</v>
      </c>
    </row>
    <row r="80" spans="1:31" ht="12" customHeight="1" x14ac:dyDescent="0.3">
      <c r="A80" s="95"/>
      <c r="B80" s="107">
        <v>12</v>
      </c>
      <c r="C80" s="108" t="s">
        <v>119</v>
      </c>
      <c r="D80" s="109" t="s">
        <v>77</v>
      </c>
      <c r="E80" s="116">
        <v>0.03</v>
      </c>
      <c r="F80" s="111"/>
      <c r="G80" s="112">
        <f>G78*E80</f>
        <v>402.81770666666665</v>
      </c>
      <c r="J80" s="93">
        <f>G80</f>
        <v>402.81770666666665</v>
      </c>
      <c r="K80" s="84">
        <v>5.9</v>
      </c>
      <c r="M80" s="59"/>
      <c r="N80" s="59"/>
      <c r="O80" s="59"/>
      <c r="P80" s="59">
        <f>K80*J80</f>
        <v>2376.6244693333333</v>
      </c>
      <c r="Q80" s="59"/>
      <c r="R80" s="59"/>
      <c r="T80" s="59"/>
      <c r="U80" s="59"/>
      <c r="V80" s="59"/>
      <c r="W80" s="59"/>
      <c r="X80" s="59"/>
      <c r="Y80" s="59"/>
      <c r="AE80" s="59">
        <f>G80</f>
        <v>402.81770666666665</v>
      </c>
    </row>
    <row r="81" spans="1:32" ht="12" customHeight="1" thickBot="1" x14ac:dyDescent="0.35">
      <c r="A81" s="95"/>
      <c r="B81" s="117">
        <v>13</v>
      </c>
      <c r="C81" s="88" t="s">
        <v>78</v>
      </c>
      <c r="D81" s="89"/>
      <c r="E81" s="118">
        <v>0.35</v>
      </c>
      <c r="F81" s="91"/>
      <c r="G81" s="119">
        <f>G77*E81</f>
        <v>550.72733333333326</v>
      </c>
      <c r="J81" s="93">
        <f>G81</f>
        <v>550.72733333333326</v>
      </c>
      <c r="K81" s="84">
        <v>5.9</v>
      </c>
      <c r="M81" s="59"/>
      <c r="N81" s="59"/>
      <c r="O81" s="59"/>
      <c r="P81" s="59"/>
      <c r="Q81" s="59">
        <f>K81*J81</f>
        <v>3249.2912666666666</v>
      </c>
      <c r="R81" s="59"/>
      <c r="Z81" s="59"/>
      <c r="AF81" s="59">
        <f>G81</f>
        <v>550.72733333333326</v>
      </c>
    </row>
    <row r="82" spans="1:32" ht="8.25" customHeight="1" thickBot="1" x14ac:dyDescent="0.35">
      <c r="A82" s="95"/>
      <c r="B82" s="120"/>
      <c r="C82" s="121"/>
      <c r="D82" s="120"/>
      <c r="E82" s="122"/>
      <c r="F82" s="123"/>
      <c r="G82" s="123"/>
      <c r="Z82" s="59"/>
    </row>
    <row r="83" spans="1:32" ht="15" customHeight="1" x14ac:dyDescent="0.3">
      <c r="A83" s="95"/>
      <c r="B83" s="101">
        <v>14</v>
      </c>
      <c r="C83" s="102" t="s">
        <v>120</v>
      </c>
      <c r="D83" s="103" t="s">
        <v>121</v>
      </c>
      <c r="E83" s="104"/>
      <c r="F83" s="105"/>
      <c r="G83" s="124">
        <f>G78+G80+G81</f>
        <v>14380.80192888889</v>
      </c>
    </row>
    <row r="84" spans="1:32" ht="15" customHeight="1" x14ac:dyDescent="0.3">
      <c r="A84" s="95"/>
      <c r="B84" s="107">
        <v>15</v>
      </c>
      <c r="C84" s="108" t="s">
        <v>122</v>
      </c>
      <c r="D84" s="109" t="s">
        <v>123</v>
      </c>
      <c r="E84" s="110"/>
      <c r="F84" s="111"/>
      <c r="G84" s="114">
        <f>(G78+G80+G81)*1.21</f>
        <v>17400.770333955556</v>
      </c>
    </row>
    <row r="85" spans="1:32" ht="15" customHeight="1" x14ac:dyDescent="0.3">
      <c r="A85" s="95"/>
      <c r="B85" s="107">
        <v>16</v>
      </c>
      <c r="C85" s="108" t="s">
        <v>124</v>
      </c>
      <c r="D85" s="109" t="s">
        <v>121</v>
      </c>
      <c r="E85" s="110"/>
      <c r="F85" s="111"/>
      <c r="G85" s="126">
        <f>G79+G80+G81</f>
        <v>12500.80192888889</v>
      </c>
      <c r="I85" s="93">
        <f>G83*0.6</f>
        <v>8628.4811573333336</v>
      </c>
    </row>
    <row r="86" spans="1:32" ht="15" customHeight="1" thickBot="1" x14ac:dyDescent="0.35">
      <c r="A86" s="95"/>
      <c r="B86" s="117">
        <v>17</v>
      </c>
      <c r="C86" s="88" t="s">
        <v>125</v>
      </c>
      <c r="D86" s="89" t="s">
        <v>123</v>
      </c>
      <c r="E86" s="90"/>
      <c r="F86" s="91"/>
      <c r="G86" s="127">
        <f>(G79+G80+G81)*1.21</f>
        <v>15125.970333955556</v>
      </c>
    </row>
    <row r="87" spans="1:32" ht="8.25" customHeight="1" x14ac:dyDescent="0.3"/>
    <row r="91" spans="1:32" ht="15.6" x14ac:dyDescent="0.3">
      <c r="A91" s="153" t="s">
        <v>164</v>
      </c>
      <c r="B91" s="153" t="s">
        <v>55</v>
      </c>
      <c r="C91" s="153" t="s">
        <v>165</v>
      </c>
      <c r="D91" s="154" t="s">
        <v>24</v>
      </c>
      <c r="E91" s="153"/>
      <c r="F91" s="153"/>
      <c r="G91" s="153"/>
    </row>
    <row r="92" spans="1:32" x14ac:dyDescent="0.3">
      <c r="A92" s="155"/>
      <c r="B92" s="155" t="s">
        <v>56</v>
      </c>
      <c r="C92" s="52" t="s">
        <v>57</v>
      </c>
      <c r="D92" s="53" t="s">
        <v>166</v>
      </c>
      <c r="E92" s="54">
        <v>0.7</v>
      </c>
      <c r="F92" s="55">
        <f>F69</f>
        <v>0</v>
      </c>
      <c r="G92" s="156">
        <f>E92*F92</f>
        <v>0</v>
      </c>
    </row>
    <row r="93" spans="1:32" x14ac:dyDescent="0.3">
      <c r="A93" s="155"/>
      <c r="B93" s="155" t="s">
        <v>56</v>
      </c>
      <c r="C93" s="52" t="s">
        <v>167</v>
      </c>
      <c r="D93" s="53" t="s">
        <v>166</v>
      </c>
      <c r="E93" s="54">
        <v>0.75</v>
      </c>
      <c r="F93" s="55">
        <f>F42</f>
        <v>0</v>
      </c>
      <c r="G93" s="156">
        <f>E93*F93</f>
        <v>0</v>
      </c>
    </row>
    <row r="94" spans="1:32" x14ac:dyDescent="0.3">
      <c r="A94" s="155"/>
      <c r="B94" s="155" t="s">
        <v>56</v>
      </c>
      <c r="C94" s="52" t="s">
        <v>168</v>
      </c>
      <c r="D94" s="53" t="s">
        <v>166</v>
      </c>
      <c r="E94" s="54"/>
      <c r="F94" s="55">
        <f>F43</f>
        <v>0</v>
      </c>
      <c r="G94" s="156"/>
    </row>
    <row r="95" spans="1:32" x14ac:dyDescent="0.3">
      <c r="A95" s="155"/>
      <c r="B95" s="157" t="s">
        <v>169</v>
      </c>
      <c r="C95" s="108"/>
      <c r="D95" s="109"/>
      <c r="E95" s="109"/>
      <c r="F95" s="158"/>
      <c r="G95" s="159">
        <f>SUM(G92:G94)</f>
        <v>0</v>
      </c>
    </row>
    <row r="96" spans="1:32" x14ac:dyDescent="0.3">
      <c r="A96" s="155"/>
      <c r="B96" s="155" t="s">
        <v>58</v>
      </c>
      <c r="C96" s="52" t="s">
        <v>170</v>
      </c>
      <c r="D96" s="53" t="s">
        <v>60</v>
      </c>
      <c r="E96" s="54">
        <v>3.09</v>
      </c>
      <c r="F96" s="55">
        <v>26</v>
      </c>
      <c r="G96" s="156">
        <f>E96*F96</f>
        <v>80.34</v>
      </c>
    </row>
    <row r="97" spans="1:32" x14ac:dyDescent="0.3">
      <c r="A97" s="155"/>
      <c r="B97" s="155" t="s">
        <v>58</v>
      </c>
      <c r="C97" s="52" t="s">
        <v>171</v>
      </c>
      <c r="D97" s="53" t="s">
        <v>36</v>
      </c>
      <c r="E97" s="54">
        <v>0.03</v>
      </c>
      <c r="F97" s="55">
        <v>3500</v>
      </c>
      <c r="G97" s="156">
        <f>E97*F97</f>
        <v>105</v>
      </c>
    </row>
    <row r="98" spans="1:32" x14ac:dyDescent="0.3">
      <c r="A98" s="155"/>
      <c r="B98" s="155" t="s">
        <v>58</v>
      </c>
      <c r="C98" s="52" t="s">
        <v>172</v>
      </c>
      <c r="D98" s="53" t="s">
        <v>60</v>
      </c>
      <c r="E98" s="54">
        <v>4</v>
      </c>
      <c r="F98" s="55">
        <v>216</v>
      </c>
      <c r="G98" s="156">
        <f>E98*F98</f>
        <v>864</v>
      </c>
    </row>
    <row r="99" spans="1:32" x14ac:dyDescent="0.3">
      <c r="A99" s="155"/>
      <c r="B99" s="155" t="s">
        <v>58</v>
      </c>
      <c r="C99" s="52" t="s">
        <v>173</v>
      </c>
      <c r="D99" s="53" t="s">
        <v>174</v>
      </c>
      <c r="E99" s="54">
        <v>12.5</v>
      </c>
      <c r="F99" s="55">
        <v>200</v>
      </c>
      <c r="G99" s="156">
        <f>E99*F99</f>
        <v>2500</v>
      </c>
    </row>
    <row r="100" spans="1:32" x14ac:dyDescent="0.3">
      <c r="A100" s="160"/>
      <c r="B100" s="157" t="s">
        <v>175</v>
      </c>
      <c r="C100" s="161"/>
      <c r="D100" s="109"/>
      <c r="E100" s="109"/>
      <c r="F100" s="162"/>
      <c r="G100" s="163">
        <f>SUM(G96:G99)</f>
        <v>3549.34</v>
      </c>
    </row>
    <row r="101" spans="1:32" x14ac:dyDescent="0.3">
      <c r="A101" s="160"/>
      <c r="B101" s="160"/>
      <c r="C101" s="164"/>
      <c r="D101" s="165"/>
      <c r="E101" s="166"/>
      <c r="F101" s="163"/>
      <c r="G101" s="163"/>
    </row>
    <row r="103" spans="1:32" ht="10.8" thickBot="1" x14ac:dyDescent="0.35"/>
    <row r="104" spans="1:32" s="61" customFormat="1" ht="16.5" customHeight="1" thickBot="1" x14ac:dyDescent="0.35">
      <c r="A104" s="69" t="s">
        <v>18</v>
      </c>
      <c r="B104" s="70" t="s">
        <v>55</v>
      </c>
      <c r="C104" s="70" t="s">
        <v>176</v>
      </c>
      <c r="D104" s="71" t="s">
        <v>100</v>
      </c>
      <c r="E104" s="72"/>
      <c r="F104" s="72"/>
      <c r="G104" s="73"/>
      <c r="L104" s="65"/>
      <c r="M104" s="65"/>
      <c r="N104" s="65"/>
      <c r="O104" s="65"/>
      <c r="P104" s="65"/>
      <c r="Q104" s="65"/>
      <c r="R104" s="65"/>
      <c r="S104" s="66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</row>
    <row r="105" spans="1:32" ht="12" customHeight="1" x14ac:dyDescent="0.3">
      <c r="A105" s="74"/>
      <c r="B105" s="128" t="s">
        <v>56</v>
      </c>
      <c r="C105" s="129" t="s">
        <v>101</v>
      </c>
      <c r="D105" s="130" t="s">
        <v>102</v>
      </c>
      <c r="E105" s="131"/>
      <c r="F105" s="132">
        <f>F47</f>
        <v>6944.4444444444443</v>
      </c>
      <c r="G105" s="133">
        <f>E105*F105</f>
        <v>0</v>
      </c>
    </row>
    <row r="106" spans="1:32" ht="12" customHeight="1" x14ac:dyDescent="0.3">
      <c r="A106" s="74"/>
      <c r="B106" s="81" t="s">
        <v>56</v>
      </c>
      <c r="C106" s="82" t="s">
        <v>103</v>
      </c>
      <c r="D106" s="83" t="s">
        <v>102</v>
      </c>
      <c r="E106" s="84">
        <v>0.75</v>
      </c>
      <c r="F106" s="85">
        <f>F48</f>
        <v>6388.8888888888887</v>
      </c>
      <c r="G106" s="86">
        <f>E106*F106</f>
        <v>4791.6666666666661</v>
      </c>
    </row>
    <row r="107" spans="1:32" ht="12" customHeight="1" x14ac:dyDescent="0.3">
      <c r="A107" s="74"/>
      <c r="B107" s="81" t="s">
        <v>56</v>
      </c>
      <c r="C107" s="82" t="s">
        <v>104</v>
      </c>
      <c r="D107" s="83" t="s">
        <v>102</v>
      </c>
      <c r="E107" s="84"/>
      <c r="F107" s="85">
        <f>F49</f>
        <v>5833.333333333333</v>
      </c>
      <c r="G107" s="86">
        <f>E107*F107</f>
        <v>0</v>
      </c>
    </row>
    <row r="108" spans="1:32" ht="12" customHeight="1" x14ac:dyDescent="0.3">
      <c r="A108" s="74"/>
      <c r="B108" s="81" t="s">
        <v>56</v>
      </c>
      <c r="C108" s="82" t="s">
        <v>57</v>
      </c>
      <c r="D108" s="83" t="s">
        <v>102</v>
      </c>
      <c r="E108" s="84">
        <v>0.7</v>
      </c>
      <c r="F108" s="85">
        <f>F50</f>
        <v>5277.7777777777774</v>
      </c>
      <c r="G108" s="86">
        <f>E108*F108</f>
        <v>3694.4444444444439</v>
      </c>
    </row>
    <row r="109" spans="1:32" ht="12" customHeight="1" x14ac:dyDescent="0.3">
      <c r="A109" s="74"/>
      <c r="B109" s="81" t="s">
        <v>56</v>
      </c>
      <c r="C109" s="82" t="s">
        <v>105</v>
      </c>
      <c r="D109" s="83" t="s">
        <v>102</v>
      </c>
      <c r="E109" s="84"/>
      <c r="F109" s="85">
        <f>F51</f>
        <v>5277.7777777777774</v>
      </c>
      <c r="G109" s="86">
        <f>E109*F109</f>
        <v>0</v>
      </c>
      <c r="I109" s="56">
        <v>110</v>
      </c>
    </row>
    <row r="110" spans="1:32" ht="12" customHeight="1" thickBot="1" x14ac:dyDescent="0.35">
      <c r="A110" s="74"/>
      <c r="B110" s="87" t="s">
        <v>106</v>
      </c>
      <c r="C110" s="88"/>
      <c r="D110" s="89"/>
      <c r="E110" s="90"/>
      <c r="F110" s="91"/>
      <c r="G110" s="92">
        <f>SUM(G105:G109)</f>
        <v>8486.1111111111095</v>
      </c>
      <c r="I110" s="93"/>
      <c r="K110" s="94">
        <f>K131</f>
        <v>5.9</v>
      </c>
      <c r="T110" s="59">
        <f>G110</f>
        <v>8486.1111111111095</v>
      </c>
      <c r="U110" s="84">
        <v>5.9</v>
      </c>
      <c r="V110" s="59">
        <f>U110*T110</f>
        <v>50068.055555555547</v>
      </c>
      <c r="W110" s="59"/>
      <c r="X110" s="59"/>
      <c r="Y110" s="59"/>
    </row>
    <row r="111" spans="1:32" ht="12" customHeight="1" x14ac:dyDescent="0.3">
      <c r="A111" s="74"/>
      <c r="B111" s="75" t="s">
        <v>58</v>
      </c>
      <c r="C111" s="52" t="s">
        <v>170</v>
      </c>
      <c r="D111" s="53" t="s">
        <v>60</v>
      </c>
      <c r="E111" s="54">
        <v>3.09</v>
      </c>
      <c r="F111" s="55">
        <f>13000/50</f>
        <v>260</v>
      </c>
      <c r="G111" s="80">
        <f t="shared" ref="G111:G121" si="4">E111*F111</f>
        <v>803.4</v>
      </c>
      <c r="I111" s="56">
        <f>E111*J111/50</f>
        <v>6.7979999999999992</v>
      </c>
      <c r="J111" s="56">
        <v>110</v>
      </c>
    </row>
    <row r="112" spans="1:32" ht="12" customHeight="1" x14ac:dyDescent="0.3">
      <c r="A112" s="74"/>
      <c r="B112" s="81" t="s">
        <v>58</v>
      </c>
      <c r="C112" s="52" t="s">
        <v>171</v>
      </c>
      <c r="D112" s="53" t="s">
        <v>36</v>
      </c>
      <c r="E112" s="54">
        <v>0.03</v>
      </c>
      <c r="F112" s="55">
        <f>250000/5</f>
        <v>50000</v>
      </c>
      <c r="G112" s="86">
        <f t="shared" si="4"/>
        <v>1500</v>
      </c>
      <c r="I112" s="56">
        <f>E112*J112</f>
        <v>3.3</v>
      </c>
      <c r="J112" s="56">
        <v>110</v>
      </c>
    </row>
    <row r="113" spans="1:26" ht="12" customHeight="1" x14ac:dyDescent="0.3">
      <c r="A113" s="74"/>
      <c r="B113" s="81" t="s">
        <v>58</v>
      </c>
      <c r="C113" s="52" t="s">
        <v>172</v>
      </c>
      <c r="D113" s="53" t="s">
        <v>60</v>
      </c>
      <c r="E113" s="54">
        <v>3</v>
      </c>
      <c r="F113" s="55">
        <f>1807</f>
        <v>1807</v>
      </c>
      <c r="G113" s="86">
        <f t="shared" si="4"/>
        <v>5421</v>
      </c>
      <c r="I113" s="56">
        <f>E113*J113</f>
        <v>330</v>
      </c>
      <c r="J113" s="56">
        <v>110</v>
      </c>
    </row>
    <row r="114" spans="1:26" ht="12" customHeight="1" x14ac:dyDescent="0.3">
      <c r="A114" s="74"/>
      <c r="B114" s="81" t="s">
        <v>58</v>
      </c>
      <c r="C114" s="52" t="s">
        <v>173</v>
      </c>
      <c r="D114" s="53" t="s">
        <v>174</v>
      </c>
      <c r="E114" s="54">
        <v>12.5</v>
      </c>
      <c r="F114" s="55">
        <v>400</v>
      </c>
      <c r="G114" s="86">
        <f t="shared" si="4"/>
        <v>5000</v>
      </c>
      <c r="I114" s="56">
        <f>E114*J114</f>
        <v>1375</v>
      </c>
      <c r="J114" s="56">
        <v>110</v>
      </c>
    </row>
    <row r="115" spans="1:26" ht="12" customHeight="1" x14ac:dyDescent="0.3">
      <c r="A115" s="74"/>
      <c r="B115" s="81" t="s">
        <v>58</v>
      </c>
      <c r="C115" s="82"/>
      <c r="D115" s="83"/>
      <c r="E115" s="84"/>
      <c r="F115" s="85"/>
      <c r="G115" s="86">
        <f t="shared" si="4"/>
        <v>0</v>
      </c>
      <c r="R115" s="59">
        <f>(G115+G114+G113+G112)*K110</f>
        <v>70333.900000000009</v>
      </c>
    </row>
    <row r="116" spans="1:26" ht="12" customHeight="1" x14ac:dyDescent="0.3">
      <c r="A116" s="74"/>
      <c r="B116" s="81" t="s">
        <v>58</v>
      </c>
      <c r="C116" s="82"/>
      <c r="D116" s="83"/>
      <c r="E116" s="84"/>
      <c r="F116" s="85"/>
      <c r="G116" s="86">
        <f t="shared" si="4"/>
        <v>0</v>
      </c>
    </row>
    <row r="117" spans="1:26" ht="12" customHeight="1" x14ac:dyDescent="0.3">
      <c r="A117" s="74"/>
      <c r="B117" s="81" t="s">
        <v>58</v>
      </c>
      <c r="C117" s="82"/>
      <c r="D117" s="83"/>
      <c r="E117" s="84"/>
      <c r="F117" s="85"/>
      <c r="G117" s="86">
        <f t="shared" si="4"/>
        <v>0</v>
      </c>
    </row>
    <row r="118" spans="1:26" ht="12" customHeight="1" x14ac:dyDescent="0.3">
      <c r="A118" s="74"/>
      <c r="B118" s="81" t="s">
        <v>58</v>
      </c>
      <c r="C118" s="82"/>
      <c r="D118" s="83"/>
      <c r="E118" s="84"/>
      <c r="F118" s="85"/>
      <c r="G118" s="86">
        <f t="shared" si="4"/>
        <v>0</v>
      </c>
    </row>
    <row r="119" spans="1:26" ht="12" customHeight="1" x14ac:dyDescent="0.3">
      <c r="A119" s="74"/>
      <c r="B119" s="81" t="s">
        <v>58</v>
      </c>
      <c r="C119" s="82"/>
      <c r="D119" s="83"/>
      <c r="E119" s="84"/>
      <c r="F119" s="85"/>
      <c r="G119" s="86">
        <f t="shared" si="4"/>
        <v>0</v>
      </c>
    </row>
    <row r="120" spans="1:26" ht="12" customHeight="1" x14ac:dyDescent="0.3">
      <c r="A120" s="74"/>
      <c r="B120" s="81" t="s">
        <v>58</v>
      </c>
      <c r="C120" s="82"/>
      <c r="D120" s="83"/>
      <c r="E120" s="84"/>
      <c r="F120" s="85"/>
      <c r="G120" s="86">
        <f t="shared" si="4"/>
        <v>0</v>
      </c>
    </row>
    <row r="121" spans="1:26" ht="12" customHeight="1" x14ac:dyDescent="0.3">
      <c r="A121" s="74"/>
      <c r="B121" s="81" t="s">
        <v>58</v>
      </c>
      <c r="C121" s="82"/>
      <c r="D121" s="83"/>
      <c r="E121" s="84"/>
      <c r="F121" s="85"/>
      <c r="G121" s="86">
        <f t="shared" si="4"/>
        <v>0</v>
      </c>
    </row>
    <row r="122" spans="1:26" ht="12" customHeight="1" x14ac:dyDescent="0.3">
      <c r="A122" s="74"/>
      <c r="B122" s="81" t="s">
        <v>58</v>
      </c>
      <c r="C122" s="82"/>
      <c r="D122" s="83"/>
      <c r="E122" s="84"/>
      <c r="F122" s="85"/>
      <c r="G122" s="86"/>
    </row>
    <row r="123" spans="1:26" ht="12" customHeight="1" x14ac:dyDescent="0.3">
      <c r="A123" s="74"/>
      <c r="B123" s="81" t="s">
        <v>58</v>
      </c>
      <c r="C123" s="82"/>
      <c r="D123" s="83"/>
      <c r="E123" s="84"/>
      <c r="F123" s="85"/>
      <c r="G123" s="86"/>
    </row>
    <row r="124" spans="1:26" ht="12" customHeight="1" x14ac:dyDescent="0.3">
      <c r="A124" s="74"/>
      <c r="B124" s="81" t="s">
        <v>58</v>
      </c>
      <c r="C124" s="82"/>
      <c r="D124" s="83"/>
      <c r="E124" s="84"/>
      <c r="F124" s="85"/>
      <c r="G124" s="86"/>
    </row>
    <row r="125" spans="1:26" ht="12" customHeight="1" thickBot="1" x14ac:dyDescent="0.35">
      <c r="A125" s="95"/>
      <c r="B125" s="87" t="s">
        <v>107</v>
      </c>
      <c r="C125" s="96"/>
      <c r="D125" s="89"/>
      <c r="E125" s="90"/>
      <c r="F125" s="91"/>
      <c r="G125" s="92">
        <f>SUM(G111:G124)</f>
        <v>12724.4</v>
      </c>
      <c r="Z125" s="59">
        <f>G125</f>
        <v>12724.4</v>
      </c>
    </row>
    <row r="126" spans="1:26" ht="9" customHeight="1" thickBot="1" x14ac:dyDescent="0.35">
      <c r="A126" s="95"/>
      <c r="B126" s="95"/>
      <c r="C126" s="97"/>
      <c r="D126" s="98"/>
      <c r="E126" s="99"/>
      <c r="F126" s="100"/>
      <c r="G126" s="100"/>
    </row>
    <row r="127" spans="1:26" ht="12" customHeight="1" x14ac:dyDescent="0.3">
      <c r="A127" s="95"/>
      <c r="B127" s="101">
        <v>1</v>
      </c>
      <c r="C127" s="102" t="s">
        <v>68</v>
      </c>
      <c r="D127" s="103" t="s">
        <v>67</v>
      </c>
      <c r="E127" s="104"/>
      <c r="F127" s="105"/>
      <c r="G127" s="106">
        <f>G110</f>
        <v>8486.1111111111095</v>
      </c>
    </row>
    <row r="128" spans="1:26" ht="12" customHeight="1" x14ac:dyDescent="0.3">
      <c r="A128" s="95"/>
      <c r="B128" s="107">
        <v>2</v>
      </c>
      <c r="C128" s="108" t="s">
        <v>66</v>
      </c>
      <c r="D128" s="109" t="s">
        <v>69</v>
      </c>
      <c r="E128" s="110"/>
      <c r="F128" s="111"/>
      <c r="G128" s="112">
        <f>G125</f>
        <v>12724.4</v>
      </c>
    </row>
    <row r="129" spans="1:32" ht="12" customHeight="1" x14ac:dyDescent="0.3">
      <c r="A129" s="95"/>
      <c r="B129" s="107">
        <v>3</v>
      </c>
      <c r="C129" s="108" t="s">
        <v>70</v>
      </c>
      <c r="D129" s="109" t="s">
        <v>71</v>
      </c>
      <c r="E129" s="110"/>
      <c r="F129" s="111"/>
      <c r="G129" s="112"/>
    </row>
    <row r="130" spans="1:32" ht="12" customHeight="1" x14ac:dyDescent="0.3">
      <c r="A130" s="95"/>
      <c r="B130" s="107">
        <v>4</v>
      </c>
      <c r="C130" s="113" t="s">
        <v>72</v>
      </c>
      <c r="D130" s="109" t="s">
        <v>73</v>
      </c>
      <c r="E130" s="110"/>
      <c r="F130" s="111"/>
      <c r="G130" s="114">
        <f>SUM(G127:G129)</f>
        <v>21210.511111111111</v>
      </c>
      <c r="H130" s="93"/>
      <c r="I130" s="93"/>
      <c r="J130" s="93"/>
      <c r="K130" s="93"/>
      <c r="L130" s="59"/>
      <c r="M130" s="59"/>
      <c r="N130" s="59"/>
      <c r="O130" s="59"/>
      <c r="P130" s="59"/>
      <c r="Q130" s="59"/>
      <c r="R130" s="59"/>
      <c r="S130" s="115"/>
    </row>
    <row r="131" spans="1:32" ht="12" customHeight="1" x14ac:dyDescent="0.3">
      <c r="A131" s="95"/>
      <c r="B131" s="107">
        <v>5</v>
      </c>
      <c r="C131" s="108" t="s">
        <v>108</v>
      </c>
      <c r="D131" s="109" t="s">
        <v>109</v>
      </c>
      <c r="E131" s="116">
        <v>0.12</v>
      </c>
      <c r="F131" s="111"/>
      <c r="G131" s="112">
        <f>+G130*E131</f>
        <v>2545.2613333333334</v>
      </c>
      <c r="J131" s="93">
        <f>G131</f>
        <v>2545.2613333333334</v>
      </c>
      <c r="K131" s="84">
        <v>5.9</v>
      </c>
      <c r="L131" s="59">
        <f>K131*J131</f>
        <v>15017.041866666668</v>
      </c>
      <c r="M131" s="59"/>
      <c r="N131" s="59"/>
      <c r="O131" s="59"/>
      <c r="P131" s="59"/>
      <c r="Q131" s="59"/>
      <c r="R131" s="59"/>
      <c r="AA131" s="59">
        <f>G131</f>
        <v>2545.2613333333334</v>
      </c>
    </row>
    <row r="132" spans="1:32" ht="12" customHeight="1" x14ac:dyDescent="0.3">
      <c r="A132" s="95"/>
      <c r="B132" s="107">
        <v>6</v>
      </c>
      <c r="C132" s="113" t="s">
        <v>110</v>
      </c>
      <c r="D132" s="109" t="s">
        <v>74</v>
      </c>
      <c r="E132" s="116"/>
      <c r="F132" s="111"/>
      <c r="G132" s="114">
        <f>G131+G130</f>
        <v>23755.772444444443</v>
      </c>
    </row>
    <row r="133" spans="1:32" ht="12" customHeight="1" x14ac:dyDescent="0.3">
      <c r="A133" s="95"/>
      <c r="B133" s="107">
        <v>7</v>
      </c>
      <c r="C133" s="108" t="s">
        <v>111</v>
      </c>
      <c r="D133" s="109" t="s">
        <v>112</v>
      </c>
      <c r="E133" s="116">
        <v>0.05</v>
      </c>
      <c r="F133" s="111"/>
      <c r="G133" s="112">
        <f>+G132*E133</f>
        <v>1187.7886222222221</v>
      </c>
      <c r="J133" s="93">
        <f>G133</f>
        <v>1187.7886222222221</v>
      </c>
      <c r="K133" s="84">
        <v>5.9</v>
      </c>
      <c r="M133" s="59">
        <f>K133*J133</f>
        <v>7007.9528711111107</v>
      </c>
      <c r="N133" s="59"/>
      <c r="O133" s="59"/>
      <c r="P133" s="59"/>
      <c r="Q133" s="59"/>
      <c r="R133" s="59"/>
      <c r="AB133" s="59">
        <f>G133</f>
        <v>1187.7886222222221</v>
      </c>
    </row>
    <row r="134" spans="1:32" ht="12" customHeight="1" x14ac:dyDescent="0.3">
      <c r="A134" s="95"/>
      <c r="B134" s="107">
        <v>8</v>
      </c>
      <c r="C134" s="108" t="s">
        <v>113</v>
      </c>
      <c r="D134" s="109" t="s">
        <v>114</v>
      </c>
      <c r="E134" s="116">
        <v>0.03</v>
      </c>
      <c r="F134" s="111"/>
      <c r="G134" s="112">
        <f>G132*E134</f>
        <v>712.67317333333324</v>
      </c>
      <c r="J134" s="93">
        <f>G134</f>
        <v>712.67317333333324</v>
      </c>
      <c r="K134" s="84">
        <v>5.9</v>
      </c>
      <c r="M134" s="59"/>
      <c r="N134" s="59">
        <f>K134*J134</f>
        <v>4204.7717226666664</v>
      </c>
      <c r="O134" s="59"/>
      <c r="P134" s="59"/>
      <c r="Q134" s="59"/>
      <c r="R134" s="59"/>
      <c r="AC134" s="59">
        <f>G134</f>
        <v>712.67317333333324</v>
      </c>
    </row>
    <row r="135" spans="1:32" ht="12" customHeight="1" x14ac:dyDescent="0.3">
      <c r="A135" s="95"/>
      <c r="B135" s="107">
        <v>9</v>
      </c>
      <c r="C135" s="108" t="s">
        <v>75</v>
      </c>
      <c r="D135" s="109" t="s">
        <v>115</v>
      </c>
      <c r="E135" s="116">
        <v>0.2</v>
      </c>
      <c r="F135" s="111"/>
      <c r="G135" s="112">
        <f>G132*E135</f>
        <v>4751.1544888888884</v>
      </c>
      <c r="J135" s="93">
        <f>G135</f>
        <v>4751.1544888888884</v>
      </c>
      <c r="K135" s="84">
        <v>5.9</v>
      </c>
      <c r="M135" s="59"/>
      <c r="N135" s="59"/>
      <c r="O135" s="59">
        <f>K135*J135</f>
        <v>28031.811484444443</v>
      </c>
      <c r="P135" s="59"/>
      <c r="Q135" s="59"/>
      <c r="R135" s="59"/>
      <c r="W135" s="59">
        <f>G135+G134+G133+G131</f>
        <v>9196.8776177777781</v>
      </c>
      <c r="X135" s="58">
        <v>5.9</v>
      </c>
      <c r="Y135" s="59">
        <f>X135*W135</f>
        <v>54261.577944888893</v>
      </c>
      <c r="AD135" s="59">
        <f>G135</f>
        <v>4751.1544888888884</v>
      </c>
    </row>
    <row r="136" spans="1:32" ht="12" customHeight="1" x14ac:dyDescent="0.3">
      <c r="A136" s="95"/>
      <c r="B136" s="107">
        <v>10</v>
      </c>
      <c r="C136" s="113" t="s">
        <v>76</v>
      </c>
      <c r="D136" s="109" t="s">
        <v>116</v>
      </c>
      <c r="E136" s="116"/>
      <c r="F136" s="111"/>
      <c r="G136" s="114">
        <f>G135+G134+G133+G132</f>
        <v>30407.388728888887</v>
      </c>
    </row>
    <row r="137" spans="1:32" ht="12" customHeight="1" x14ac:dyDescent="0.3">
      <c r="A137" s="95"/>
      <c r="B137" s="107">
        <v>11</v>
      </c>
      <c r="C137" s="113" t="s">
        <v>117</v>
      </c>
      <c r="D137" s="109" t="s">
        <v>118</v>
      </c>
      <c r="E137" s="116"/>
      <c r="F137" s="111"/>
      <c r="G137" s="112">
        <f>G136-G128</f>
        <v>17682.988728888886</v>
      </c>
    </row>
    <row r="138" spans="1:32" ht="12" customHeight="1" x14ac:dyDescent="0.3">
      <c r="A138" s="95"/>
      <c r="B138" s="107">
        <v>12</v>
      </c>
      <c r="C138" s="108" t="s">
        <v>119</v>
      </c>
      <c r="D138" s="109" t="s">
        <v>77</v>
      </c>
      <c r="E138" s="116">
        <v>0.03</v>
      </c>
      <c r="F138" s="111"/>
      <c r="G138" s="112">
        <f>G136*E138</f>
        <v>912.22166186666664</v>
      </c>
      <c r="J138" s="93">
        <f>G138</f>
        <v>912.22166186666664</v>
      </c>
      <c r="K138" s="84">
        <v>5.9</v>
      </c>
      <c r="M138" s="59"/>
      <c r="N138" s="59"/>
      <c r="O138" s="59"/>
      <c r="P138" s="59">
        <f>K138*J138</f>
        <v>5382.1078050133337</v>
      </c>
      <c r="Q138" s="59"/>
      <c r="R138" s="59"/>
      <c r="T138" s="59"/>
      <c r="U138" s="59"/>
      <c r="V138" s="59"/>
      <c r="W138" s="59"/>
      <c r="X138" s="59"/>
      <c r="Y138" s="59"/>
      <c r="AE138" s="59">
        <f>G138</f>
        <v>912.22166186666664</v>
      </c>
    </row>
    <row r="139" spans="1:32" ht="12" customHeight="1" thickBot="1" x14ac:dyDescent="0.35">
      <c r="A139" s="95"/>
      <c r="B139" s="117">
        <v>13</v>
      </c>
      <c r="C139" s="88" t="s">
        <v>78</v>
      </c>
      <c r="D139" s="89"/>
      <c r="E139" s="118">
        <v>0.35</v>
      </c>
      <c r="F139" s="91"/>
      <c r="G139" s="119">
        <f>G135*E139</f>
        <v>1662.9040711111109</v>
      </c>
      <c r="J139" s="93">
        <f>G139</f>
        <v>1662.9040711111109</v>
      </c>
      <c r="K139" s="84">
        <v>5.9</v>
      </c>
      <c r="M139" s="59"/>
      <c r="N139" s="59"/>
      <c r="O139" s="59"/>
      <c r="P139" s="59"/>
      <c r="Q139" s="59">
        <f>K139*J139</f>
        <v>9811.1340195555549</v>
      </c>
      <c r="R139" s="59"/>
      <c r="Z139" s="59"/>
      <c r="AF139" s="59">
        <f>G139</f>
        <v>1662.9040711111109</v>
      </c>
    </row>
    <row r="140" spans="1:32" ht="8.25" customHeight="1" thickBot="1" x14ac:dyDescent="0.35">
      <c r="A140" s="95"/>
      <c r="B140" s="120"/>
      <c r="C140" s="121"/>
      <c r="D140" s="120"/>
      <c r="E140" s="122"/>
      <c r="F140" s="123"/>
      <c r="G140" s="123"/>
      <c r="Z140" s="59"/>
    </row>
    <row r="141" spans="1:32" ht="15" customHeight="1" x14ac:dyDescent="0.3">
      <c r="A141" s="95"/>
      <c r="B141" s="101">
        <v>14</v>
      </c>
      <c r="C141" s="102" t="s">
        <v>120</v>
      </c>
      <c r="D141" s="103" t="s">
        <v>121</v>
      </c>
      <c r="E141" s="104"/>
      <c r="F141" s="105"/>
      <c r="G141" s="124">
        <f>G136+G138+G139</f>
        <v>32982.514461866667</v>
      </c>
    </row>
    <row r="142" spans="1:32" ht="15" customHeight="1" x14ac:dyDescent="0.3">
      <c r="A142" s="95"/>
      <c r="B142" s="107">
        <v>15</v>
      </c>
      <c r="C142" s="108" t="s">
        <v>122</v>
      </c>
      <c r="D142" s="109" t="s">
        <v>123</v>
      </c>
      <c r="E142" s="110"/>
      <c r="F142" s="111"/>
      <c r="G142" s="114">
        <f>(G136+G138+G139)*1.21</f>
        <v>39908.842498858663</v>
      </c>
    </row>
    <row r="143" spans="1:32" ht="15" customHeight="1" x14ac:dyDescent="0.3">
      <c r="A143" s="95"/>
      <c r="B143" s="107">
        <v>16</v>
      </c>
      <c r="C143" s="108" t="s">
        <v>124</v>
      </c>
      <c r="D143" s="109" t="s">
        <v>121</v>
      </c>
      <c r="E143" s="110"/>
      <c r="F143" s="111"/>
      <c r="G143" s="126">
        <f>G137+G138+G139</f>
        <v>20258.114461866666</v>
      </c>
      <c r="I143" s="93">
        <f>G143/1360</f>
        <v>14.895672398431373</v>
      </c>
    </row>
    <row r="144" spans="1:32" ht="15" customHeight="1" thickBot="1" x14ac:dyDescent="0.35">
      <c r="A144" s="95"/>
      <c r="B144" s="117">
        <v>17</v>
      </c>
      <c r="C144" s="88" t="s">
        <v>125</v>
      </c>
      <c r="D144" s="89" t="s">
        <v>123</v>
      </c>
      <c r="E144" s="90"/>
      <c r="F144" s="91"/>
      <c r="G144" s="127">
        <f>(G137+G138+G139)*1.21</f>
        <v>24512.318498858665</v>
      </c>
    </row>
    <row r="145" spans="1:32" ht="10.8" thickBot="1" x14ac:dyDescent="0.35"/>
    <row r="146" spans="1:32" s="61" customFormat="1" ht="16.5" customHeight="1" thickBot="1" x14ac:dyDescent="0.35">
      <c r="A146" s="69" t="s">
        <v>18</v>
      </c>
      <c r="B146" s="70" t="s">
        <v>55</v>
      </c>
      <c r="C146" s="70" t="s">
        <v>399</v>
      </c>
      <c r="D146" s="71" t="s">
        <v>100</v>
      </c>
      <c r="E146" s="72"/>
      <c r="F146" s="72"/>
      <c r="G146" s="73"/>
      <c r="L146" s="65"/>
      <c r="M146" s="65"/>
      <c r="N146" s="65"/>
      <c r="O146" s="65"/>
      <c r="P146" s="65"/>
      <c r="Q146" s="65"/>
      <c r="R146" s="65"/>
      <c r="S146" s="66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</row>
    <row r="147" spans="1:32" ht="12" customHeight="1" x14ac:dyDescent="0.3">
      <c r="A147" s="74"/>
      <c r="B147" s="128" t="s">
        <v>56</v>
      </c>
      <c r="C147" s="129" t="s">
        <v>101</v>
      </c>
      <c r="D147" s="130" t="s">
        <v>102</v>
      </c>
      <c r="E147" s="131"/>
      <c r="F147" s="132">
        <f>F105</f>
        <v>6944.4444444444443</v>
      </c>
      <c r="G147" s="133">
        <f>E147*F147</f>
        <v>0</v>
      </c>
    </row>
    <row r="148" spans="1:32" ht="12" customHeight="1" x14ac:dyDescent="0.3">
      <c r="A148" s="74"/>
      <c r="B148" s="81" t="s">
        <v>56</v>
      </c>
      <c r="C148" s="82" t="s">
        <v>103</v>
      </c>
      <c r="D148" s="83" t="s">
        <v>102</v>
      </c>
      <c r="E148" s="84">
        <f>0.75*1.12</f>
        <v>0.84000000000000008</v>
      </c>
      <c r="F148" s="85">
        <f>F106</f>
        <v>6388.8888888888887</v>
      </c>
      <c r="G148" s="86">
        <f>E148*F148</f>
        <v>5366.666666666667</v>
      </c>
    </row>
    <row r="149" spans="1:32" ht="12" customHeight="1" x14ac:dyDescent="0.3">
      <c r="A149" s="74"/>
      <c r="B149" s="81" t="s">
        <v>56</v>
      </c>
      <c r="C149" s="82" t="s">
        <v>104</v>
      </c>
      <c r="D149" s="83" t="s">
        <v>102</v>
      </c>
      <c r="E149" s="84"/>
      <c r="F149" s="85">
        <f t="shared" ref="F149:F151" si="5">F107</f>
        <v>5833.333333333333</v>
      </c>
      <c r="G149" s="86">
        <f>E149*F149</f>
        <v>0</v>
      </c>
    </row>
    <row r="150" spans="1:32" ht="12" customHeight="1" x14ac:dyDescent="0.3">
      <c r="A150" s="74"/>
      <c r="B150" s="81" t="s">
        <v>56</v>
      </c>
      <c r="C150" s="82" t="s">
        <v>57</v>
      </c>
      <c r="D150" s="83" t="s">
        <v>102</v>
      </c>
      <c r="E150" s="84">
        <f>0.7*1.12</f>
        <v>0.78400000000000003</v>
      </c>
      <c r="F150" s="85">
        <f t="shared" si="5"/>
        <v>5277.7777777777774</v>
      </c>
      <c r="G150" s="86">
        <f>E150*F150</f>
        <v>4137.7777777777774</v>
      </c>
    </row>
    <row r="151" spans="1:32" ht="12" customHeight="1" x14ac:dyDescent="0.3">
      <c r="A151" s="74"/>
      <c r="B151" s="81" t="s">
        <v>56</v>
      </c>
      <c r="C151" s="82" t="s">
        <v>105</v>
      </c>
      <c r="D151" s="83" t="s">
        <v>102</v>
      </c>
      <c r="E151" s="84"/>
      <c r="F151" s="85">
        <f t="shared" si="5"/>
        <v>5277.7777777777774</v>
      </c>
      <c r="G151" s="86">
        <f>E151*F151</f>
        <v>0</v>
      </c>
      <c r="I151" s="56">
        <v>110</v>
      </c>
    </row>
    <row r="152" spans="1:32" ht="12" customHeight="1" thickBot="1" x14ac:dyDescent="0.35">
      <c r="A152" s="74"/>
      <c r="B152" s="87" t="s">
        <v>106</v>
      </c>
      <c r="C152" s="88"/>
      <c r="D152" s="89"/>
      <c r="E152" s="90"/>
      <c r="F152" s="91"/>
      <c r="G152" s="92">
        <f>SUM(G147:G151)</f>
        <v>9504.4444444444453</v>
      </c>
      <c r="I152" s="93"/>
      <c r="K152" s="94">
        <f>K173</f>
        <v>5.9</v>
      </c>
      <c r="T152" s="59">
        <f>G152</f>
        <v>9504.4444444444453</v>
      </c>
      <c r="U152" s="84">
        <v>5.9</v>
      </c>
      <c r="V152" s="59">
        <f>U152*T152</f>
        <v>56076.222222222234</v>
      </c>
      <c r="W152" s="59"/>
      <c r="X152" s="59"/>
      <c r="Y152" s="59"/>
    </row>
    <row r="153" spans="1:32" ht="12" customHeight="1" x14ac:dyDescent="0.3">
      <c r="A153" s="74"/>
      <c r="B153" s="75" t="s">
        <v>58</v>
      </c>
      <c r="C153" s="52" t="s">
        <v>170</v>
      </c>
      <c r="D153" s="53" t="s">
        <v>60</v>
      </c>
      <c r="E153" s="54">
        <v>3.09</v>
      </c>
      <c r="F153" s="55">
        <f>13000/50</f>
        <v>260</v>
      </c>
      <c r="G153" s="80">
        <f t="shared" ref="G153:G163" si="6">E153*F153</f>
        <v>803.4</v>
      </c>
      <c r="I153" s="56">
        <f>E153*J153/50</f>
        <v>6.7979999999999992</v>
      </c>
      <c r="J153" s="56">
        <v>110</v>
      </c>
    </row>
    <row r="154" spans="1:32" ht="12" customHeight="1" x14ac:dyDescent="0.3">
      <c r="A154" s="74"/>
      <c r="B154" s="81" t="s">
        <v>58</v>
      </c>
      <c r="C154" s="52" t="s">
        <v>171</v>
      </c>
      <c r="D154" s="53" t="s">
        <v>36</v>
      </c>
      <c r="E154" s="54">
        <v>0.03</v>
      </c>
      <c r="F154" s="55">
        <f>250000/5</f>
        <v>50000</v>
      </c>
      <c r="G154" s="86">
        <f t="shared" si="6"/>
        <v>1500</v>
      </c>
      <c r="I154" s="56">
        <f>E154*J154</f>
        <v>3.3</v>
      </c>
      <c r="J154" s="56">
        <v>110</v>
      </c>
    </row>
    <row r="155" spans="1:32" ht="12" customHeight="1" x14ac:dyDescent="0.3">
      <c r="A155" s="74"/>
      <c r="B155" s="81" t="s">
        <v>58</v>
      </c>
      <c r="C155" s="52" t="s">
        <v>172</v>
      </c>
      <c r="D155" s="53" t="s">
        <v>60</v>
      </c>
      <c r="E155" s="54">
        <v>3</v>
      </c>
      <c r="F155" s="55">
        <v>2055</v>
      </c>
      <c r="G155" s="86">
        <f t="shared" si="6"/>
        <v>6165</v>
      </c>
      <c r="I155" s="56">
        <f>E155*J155</f>
        <v>330</v>
      </c>
      <c r="J155" s="56">
        <v>110</v>
      </c>
    </row>
    <row r="156" spans="1:32" ht="12" customHeight="1" x14ac:dyDescent="0.3">
      <c r="A156" s="74"/>
      <c r="B156" s="81" t="s">
        <v>58</v>
      </c>
      <c r="C156" s="52" t="s">
        <v>173</v>
      </c>
      <c r="D156" s="53" t="s">
        <v>174</v>
      </c>
      <c r="E156" s="54">
        <v>12.5</v>
      </c>
      <c r="F156" s="55">
        <v>2050</v>
      </c>
      <c r="G156" s="86">
        <f t="shared" si="6"/>
        <v>25625</v>
      </c>
      <c r="I156" s="56">
        <f>E156*J156</f>
        <v>1375</v>
      </c>
      <c r="J156" s="56">
        <v>110</v>
      </c>
    </row>
    <row r="157" spans="1:32" ht="12" customHeight="1" x14ac:dyDescent="0.3">
      <c r="A157" s="74"/>
      <c r="B157" s="81" t="s">
        <v>58</v>
      </c>
      <c r="C157" s="82" t="s">
        <v>400</v>
      </c>
      <c r="D157" s="83" t="s">
        <v>174</v>
      </c>
      <c r="E157" s="84">
        <v>0.13600000000000001</v>
      </c>
      <c r="F157" s="85">
        <v>175000</v>
      </c>
      <c r="G157" s="86">
        <f t="shared" si="6"/>
        <v>23800</v>
      </c>
      <c r="R157" s="59">
        <f>(G157+G156+G155+G154)*K152</f>
        <v>336831</v>
      </c>
    </row>
    <row r="158" spans="1:32" ht="12" customHeight="1" x14ac:dyDescent="0.3">
      <c r="A158" s="74"/>
      <c r="B158" s="81" t="s">
        <v>58</v>
      </c>
      <c r="C158" s="82"/>
      <c r="D158" s="83"/>
      <c r="E158" s="84"/>
      <c r="F158" s="85"/>
      <c r="G158" s="86">
        <f t="shared" si="6"/>
        <v>0</v>
      </c>
    </row>
    <row r="159" spans="1:32" ht="12" customHeight="1" x14ac:dyDescent="0.3">
      <c r="A159" s="74"/>
      <c r="B159" s="81" t="s">
        <v>58</v>
      </c>
      <c r="C159" s="82"/>
      <c r="D159" s="83"/>
      <c r="E159" s="84"/>
      <c r="F159" s="85"/>
      <c r="G159" s="86">
        <f t="shared" si="6"/>
        <v>0</v>
      </c>
    </row>
    <row r="160" spans="1:32" ht="12" customHeight="1" x14ac:dyDescent="0.3">
      <c r="A160" s="74"/>
      <c r="B160" s="81" t="s">
        <v>58</v>
      </c>
      <c r="C160" s="82"/>
      <c r="D160" s="83"/>
      <c r="E160" s="84"/>
      <c r="F160" s="85"/>
      <c r="G160" s="86">
        <f t="shared" si="6"/>
        <v>0</v>
      </c>
    </row>
    <row r="161" spans="1:29" ht="12" customHeight="1" x14ac:dyDescent="0.3">
      <c r="A161" s="74"/>
      <c r="B161" s="81" t="s">
        <v>58</v>
      </c>
      <c r="C161" s="82"/>
      <c r="D161" s="83"/>
      <c r="E161" s="84"/>
      <c r="F161" s="85"/>
      <c r="G161" s="86">
        <f t="shared" si="6"/>
        <v>0</v>
      </c>
    </row>
    <row r="162" spans="1:29" ht="12" customHeight="1" x14ac:dyDescent="0.3">
      <c r="A162" s="74"/>
      <c r="B162" s="81" t="s">
        <v>58</v>
      </c>
      <c r="C162" s="82"/>
      <c r="D162" s="83"/>
      <c r="E162" s="84"/>
      <c r="F162" s="85"/>
      <c r="G162" s="86">
        <f t="shared" si="6"/>
        <v>0</v>
      </c>
      <c r="J162" s="56">
        <f>0.2*0.16*0.34</f>
        <v>1.0880000000000001E-2</v>
      </c>
    </row>
    <row r="163" spans="1:29" ht="12" customHeight="1" x14ac:dyDescent="0.3">
      <c r="A163" s="74"/>
      <c r="B163" s="81" t="s">
        <v>58</v>
      </c>
      <c r="C163" s="82"/>
      <c r="D163" s="83"/>
      <c r="E163" s="84"/>
      <c r="F163" s="85"/>
      <c r="G163" s="86">
        <f t="shared" si="6"/>
        <v>0</v>
      </c>
      <c r="J163" s="56">
        <v>12.5</v>
      </c>
    </row>
    <row r="164" spans="1:29" ht="12" customHeight="1" x14ac:dyDescent="0.3">
      <c r="A164" s="74"/>
      <c r="B164" s="81" t="s">
        <v>58</v>
      </c>
      <c r="C164" s="82"/>
      <c r="D164" s="83"/>
      <c r="E164" s="84"/>
      <c r="F164" s="85"/>
      <c r="G164" s="86"/>
      <c r="J164" s="56">
        <f>J163*J162</f>
        <v>0.13600000000000001</v>
      </c>
    </row>
    <row r="165" spans="1:29" ht="12" customHeight="1" x14ac:dyDescent="0.3">
      <c r="A165" s="74"/>
      <c r="B165" s="81" t="s">
        <v>58</v>
      </c>
      <c r="C165" s="82"/>
      <c r="D165" s="83"/>
      <c r="E165" s="84"/>
      <c r="F165" s="85"/>
      <c r="G165" s="86"/>
    </row>
    <row r="166" spans="1:29" ht="12" customHeight="1" x14ac:dyDescent="0.3">
      <c r="A166" s="74"/>
      <c r="B166" s="81" t="s">
        <v>58</v>
      </c>
      <c r="C166" s="82"/>
      <c r="D166" s="83"/>
      <c r="E166" s="84"/>
      <c r="F166" s="85"/>
      <c r="G166" s="86"/>
    </row>
    <row r="167" spans="1:29" ht="12" customHeight="1" thickBot="1" x14ac:dyDescent="0.35">
      <c r="A167" s="95"/>
      <c r="B167" s="87" t="s">
        <v>107</v>
      </c>
      <c r="C167" s="96"/>
      <c r="D167" s="89"/>
      <c r="E167" s="90"/>
      <c r="F167" s="91"/>
      <c r="G167" s="92">
        <f>SUM(G153:G166)</f>
        <v>57893.4</v>
      </c>
      <c r="Z167" s="59">
        <f>G167</f>
        <v>57893.4</v>
      </c>
    </row>
    <row r="168" spans="1:29" ht="9" customHeight="1" thickBot="1" x14ac:dyDescent="0.35">
      <c r="A168" s="95"/>
      <c r="B168" s="95"/>
      <c r="C168" s="97"/>
      <c r="D168" s="98"/>
      <c r="E168" s="99"/>
      <c r="F168" s="100"/>
      <c r="G168" s="100"/>
    </row>
    <row r="169" spans="1:29" ht="12" customHeight="1" x14ac:dyDescent="0.3">
      <c r="A169" s="95"/>
      <c r="B169" s="101">
        <v>1</v>
      </c>
      <c r="C169" s="102" t="s">
        <v>68</v>
      </c>
      <c r="D169" s="103" t="s">
        <v>67</v>
      </c>
      <c r="E169" s="104"/>
      <c r="F169" s="105"/>
      <c r="G169" s="106">
        <f>G152</f>
        <v>9504.4444444444453</v>
      </c>
    </row>
    <row r="170" spans="1:29" ht="12" customHeight="1" x14ac:dyDescent="0.3">
      <c r="A170" s="95"/>
      <c r="B170" s="107">
        <v>2</v>
      </c>
      <c r="C170" s="108" t="s">
        <v>66</v>
      </c>
      <c r="D170" s="109" t="s">
        <v>69</v>
      </c>
      <c r="E170" s="110"/>
      <c r="F170" s="111"/>
      <c r="G170" s="112">
        <f>G167</f>
        <v>57893.4</v>
      </c>
    </row>
    <row r="171" spans="1:29" ht="12" customHeight="1" x14ac:dyDescent="0.3">
      <c r="A171" s="95"/>
      <c r="B171" s="107">
        <v>3</v>
      </c>
      <c r="C171" s="108" t="s">
        <v>70</v>
      </c>
      <c r="D171" s="109" t="s">
        <v>71</v>
      </c>
      <c r="E171" s="110"/>
      <c r="F171" s="111"/>
      <c r="G171" s="112"/>
    </row>
    <row r="172" spans="1:29" ht="12" customHeight="1" x14ac:dyDescent="0.3">
      <c r="A172" s="95"/>
      <c r="B172" s="107">
        <v>4</v>
      </c>
      <c r="C172" s="113" t="s">
        <v>72</v>
      </c>
      <c r="D172" s="109" t="s">
        <v>73</v>
      </c>
      <c r="E172" s="110"/>
      <c r="F172" s="111"/>
      <c r="G172" s="114">
        <f>SUM(G169:G171)</f>
        <v>67397.844444444447</v>
      </c>
      <c r="H172" s="93"/>
      <c r="I172" s="93"/>
      <c r="J172" s="93"/>
      <c r="K172" s="93"/>
      <c r="L172" s="59"/>
      <c r="M172" s="59"/>
      <c r="N172" s="59"/>
      <c r="O172" s="59"/>
      <c r="P172" s="59"/>
      <c r="Q172" s="59"/>
      <c r="R172" s="59"/>
      <c r="S172" s="115"/>
    </row>
    <row r="173" spans="1:29" ht="12" customHeight="1" x14ac:dyDescent="0.3">
      <c r="A173" s="95"/>
      <c r="B173" s="107">
        <v>5</v>
      </c>
      <c r="C173" s="108" t="s">
        <v>108</v>
      </c>
      <c r="D173" s="109" t="s">
        <v>109</v>
      </c>
      <c r="E173" s="116">
        <v>0.12</v>
      </c>
      <c r="F173" s="111"/>
      <c r="G173" s="112">
        <f>+G172*E173</f>
        <v>8087.7413333333334</v>
      </c>
      <c r="J173" s="93">
        <f>G173</f>
        <v>8087.7413333333334</v>
      </c>
      <c r="K173" s="84">
        <v>5.9</v>
      </c>
      <c r="L173" s="59">
        <f>K173*J173</f>
        <v>47717.673866666672</v>
      </c>
      <c r="M173" s="59"/>
      <c r="N173" s="59"/>
      <c r="O173" s="59"/>
      <c r="P173" s="59"/>
      <c r="Q173" s="59"/>
      <c r="R173" s="59"/>
      <c r="AA173" s="59">
        <f>G173</f>
        <v>8087.7413333333334</v>
      </c>
    </row>
    <row r="174" spans="1:29" ht="12" customHeight="1" x14ac:dyDescent="0.3">
      <c r="A174" s="95"/>
      <c r="B174" s="107">
        <v>6</v>
      </c>
      <c r="C174" s="113" t="s">
        <v>110</v>
      </c>
      <c r="D174" s="109" t="s">
        <v>74</v>
      </c>
      <c r="E174" s="116"/>
      <c r="F174" s="111"/>
      <c r="G174" s="114">
        <f>G173+G172</f>
        <v>75485.585777777786</v>
      </c>
    </row>
    <row r="175" spans="1:29" ht="12" customHeight="1" x14ac:dyDescent="0.3">
      <c r="A175" s="95"/>
      <c r="B175" s="107">
        <v>7</v>
      </c>
      <c r="C175" s="108" t="s">
        <v>111</v>
      </c>
      <c r="D175" s="109" t="s">
        <v>112</v>
      </c>
      <c r="E175" s="116">
        <v>0.05</v>
      </c>
      <c r="F175" s="111"/>
      <c r="G175" s="112">
        <f>+G174*E175</f>
        <v>3774.2792888888894</v>
      </c>
      <c r="J175" s="93">
        <f>G175</f>
        <v>3774.2792888888894</v>
      </c>
      <c r="K175" s="84">
        <v>5.9</v>
      </c>
      <c r="M175" s="59">
        <f>K175*J175</f>
        <v>22268.247804444447</v>
      </c>
      <c r="N175" s="59"/>
      <c r="O175" s="59"/>
      <c r="P175" s="59"/>
      <c r="Q175" s="59"/>
      <c r="R175" s="59"/>
      <c r="AB175" s="59">
        <f>G175</f>
        <v>3774.2792888888894</v>
      </c>
    </row>
    <row r="176" spans="1:29" ht="12" customHeight="1" x14ac:dyDescent="0.3">
      <c r="A176" s="95"/>
      <c r="B176" s="107">
        <v>8</v>
      </c>
      <c r="C176" s="108" t="s">
        <v>113</v>
      </c>
      <c r="D176" s="109" t="s">
        <v>114</v>
      </c>
      <c r="E176" s="116">
        <v>0.03</v>
      </c>
      <c r="F176" s="111"/>
      <c r="G176" s="112">
        <f>G174*E176</f>
        <v>2264.5675733333333</v>
      </c>
      <c r="J176" s="93">
        <f>G176</f>
        <v>2264.5675733333333</v>
      </c>
      <c r="K176" s="84">
        <v>5.9</v>
      </c>
      <c r="M176" s="59"/>
      <c r="N176" s="59">
        <f>K176*J176</f>
        <v>13360.948682666667</v>
      </c>
      <c r="O176" s="59"/>
      <c r="P176" s="59"/>
      <c r="Q176" s="59"/>
      <c r="R176" s="59"/>
      <c r="AC176" s="59">
        <f>G176</f>
        <v>2264.5675733333333</v>
      </c>
    </row>
    <row r="177" spans="1:32" ht="12" customHeight="1" x14ac:dyDescent="0.3">
      <c r="A177" s="95"/>
      <c r="B177" s="107">
        <v>9</v>
      </c>
      <c r="C177" s="108" t="s">
        <v>75</v>
      </c>
      <c r="D177" s="109" t="s">
        <v>115</v>
      </c>
      <c r="E177" s="116">
        <v>0.2</v>
      </c>
      <c r="F177" s="111"/>
      <c r="G177" s="112">
        <f>G174*E177</f>
        <v>15097.117155555557</v>
      </c>
      <c r="J177" s="93">
        <f>G177</f>
        <v>15097.117155555557</v>
      </c>
      <c r="K177" s="84">
        <v>5.9</v>
      </c>
      <c r="M177" s="59"/>
      <c r="N177" s="59"/>
      <c r="O177" s="59">
        <f>K177*J177</f>
        <v>89072.991217777788</v>
      </c>
      <c r="P177" s="59"/>
      <c r="Q177" s="59"/>
      <c r="R177" s="59"/>
      <c r="W177" s="59">
        <f>G177+G176+G175+G173</f>
        <v>29223.705351111115</v>
      </c>
      <c r="X177" s="58">
        <v>5.9</v>
      </c>
      <c r="Y177" s="59">
        <f>X177*W177</f>
        <v>172419.86157155558</v>
      </c>
      <c r="AD177" s="59">
        <f>G177</f>
        <v>15097.117155555557</v>
      </c>
    </row>
    <row r="178" spans="1:32" ht="12" customHeight="1" x14ac:dyDescent="0.3">
      <c r="A178" s="95"/>
      <c r="B178" s="107">
        <v>10</v>
      </c>
      <c r="C178" s="113" t="s">
        <v>76</v>
      </c>
      <c r="D178" s="109" t="s">
        <v>116</v>
      </c>
      <c r="E178" s="116"/>
      <c r="F178" s="111"/>
      <c r="G178" s="114">
        <f>G177+G176+G175+G174</f>
        <v>96621.549795555562</v>
      </c>
    </row>
    <row r="179" spans="1:32" ht="12" customHeight="1" x14ac:dyDescent="0.3">
      <c r="A179" s="95"/>
      <c r="B179" s="107">
        <v>11</v>
      </c>
      <c r="C179" s="113" t="s">
        <v>117</v>
      </c>
      <c r="D179" s="109" t="s">
        <v>118</v>
      </c>
      <c r="E179" s="116"/>
      <c r="F179" s="111"/>
      <c r="G179" s="112">
        <f>G178-G170</f>
        <v>38728.149795555561</v>
      </c>
    </row>
    <row r="180" spans="1:32" ht="12" customHeight="1" x14ac:dyDescent="0.3">
      <c r="A180" s="95"/>
      <c r="B180" s="107">
        <v>12</v>
      </c>
      <c r="C180" s="108" t="s">
        <v>119</v>
      </c>
      <c r="D180" s="109" t="s">
        <v>77</v>
      </c>
      <c r="E180" s="116">
        <v>0.03</v>
      </c>
      <c r="F180" s="111"/>
      <c r="G180" s="112">
        <f>G178*E180</f>
        <v>2898.6464938666668</v>
      </c>
      <c r="J180" s="93">
        <f>G180</f>
        <v>2898.6464938666668</v>
      </c>
      <c r="K180" s="84">
        <v>5.9</v>
      </c>
      <c r="M180" s="59"/>
      <c r="N180" s="59"/>
      <c r="O180" s="59"/>
      <c r="P180" s="59">
        <f>K180*J180</f>
        <v>17102.014313813335</v>
      </c>
      <c r="Q180" s="59"/>
      <c r="R180" s="59"/>
      <c r="T180" s="59"/>
      <c r="U180" s="59"/>
      <c r="V180" s="59"/>
      <c r="W180" s="59"/>
      <c r="X180" s="59"/>
      <c r="Y180" s="59"/>
      <c r="AE180" s="59">
        <f>G180</f>
        <v>2898.6464938666668</v>
      </c>
    </row>
    <row r="181" spans="1:32" ht="12" customHeight="1" thickBot="1" x14ac:dyDescent="0.35">
      <c r="A181" s="95"/>
      <c r="B181" s="117">
        <v>13</v>
      </c>
      <c r="C181" s="88" t="s">
        <v>78</v>
      </c>
      <c r="D181" s="89"/>
      <c r="E181" s="118">
        <v>0.35</v>
      </c>
      <c r="F181" s="91"/>
      <c r="G181" s="119">
        <f>G177*E181</f>
        <v>5283.991004444445</v>
      </c>
      <c r="J181" s="93">
        <f>G181</f>
        <v>5283.991004444445</v>
      </c>
      <c r="K181" s="84">
        <v>5.9</v>
      </c>
      <c r="M181" s="59"/>
      <c r="N181" s="59"/>
      <c r="O181" s="59"/>
      <c r="P181" s="59"/>
      <c r="Q181" s="59">
        <f>K181*J181</f>
        <v>31175.546926222229</v>
      </c>
      <c r="R181" s="59"/>
      <c r="Z181" s="59"/>
      <c r="AF181" s="59">
        <f>G181</f>
        <v>5283.991004444445</v>
      </c>
    </row>
    <row r="182" spans="1:32" ht="8.25" customHeight="1" thickBot="1" x14ac:dyDescent="0.35">
      <c r="A182" s="95"/>
      <c r="B182" s="120"/>
      <c r="C182" s="121"/>
      <c r="D182" s="120"/>
      <c r="E182" s="122"/>
      <c r="F182" s="123"/>
      <c r="G182" s="123"/>
      <c r="Z182" s="59"/>
    </row>
    <row r="183" spans="1:32" ht="15" customHeight="1" x14ac:dyDescent="0.3">
      <c r="A183" s="95"/>
      <c r="B183" s="101">
        <v>14</v>
      </c>
      <c r="C183" s="102" t="s">
        <v>120</v>
      </c>
      <c r="D183" s="103" t="s">
        <v>121</v>
      </c>
      <c r="E183" s="104"/>
      <c r="F183" s="105"/>
      <c r="G183" s="124">
        <f>G178+G180+G181</f>
        <v>104804.18729386666</v>
      </c>
    </row>
    <row r="184" spans="1:32" ht="15" customHeight="1" x14ac:dyDescent="0.3">
      <c r="A184" s="95"/>
      <c r="B184" s="107">
        <v>15</v>
      </c>
      <c r="C184" s="108" t="s">
        <v>122</v>
      </c>
      <c r="D184" s="109" t="s">
        <v>123</v>
      </c>
      <c r="E184" s="110"/>
      <c r="F184" s="111"/>
      <c r="G184" s="114">
        <f>(G178+G180+G181)*1.21</f>
        <v>126813.06662557866</v>
      </c>
    </row>
    <row r="185" spans="1:32" ht="15" customHeight="1" x14ac:dyDescent="0.3">
      <c r="A185" s="95"/>
      <c r="B185" s="107">
        <v>16</v>
      </c>
      <c r="C185" s="108" t="s">
        <v>124</v>
      </c>
      <c r="D185" s="109" t="s">
        <v>121</v>
      </c>
      <c r="E185" s="110"/>
      <c r="F185" s="111"/>
      <c r="G185" s="126">
        <f>G179+G180+G181</f>
        <v>46910.787293866677</v>
      </c>
      <c r="I185" s="93">
        <f>G185/1360</f>
        <v>34.493225951372558</v>
      </c>
    </row>
    <row r="186" spans="1:32" ht="15" customHeight="1" thickBot="1" x14ac:dyDescent="0.35">
      <c r="A186" s="95"/>
      <c r="B186" s="117">
        <v>17</v>
      </c>
      <c r="C186" s="88" t="s">
        <v>125</v>
      </c>
      <c r="D186" s="89" t="s">
        <v>123</v>
      </c>
      <c r="E186" s="90"/>
      <c r="F186" s="91"/>
      <c r="G186" s="127">
        <f>(G179+G180+G181)*1.21</f>
        <v>56762.052625578675</v>
      </c>
    </row>
    <row r="187" spans="1:32" ht="10.8" thickBot="1" x14ac:dyDescent="0.35"/>
    <row r="188" spans="1:32" s="61" customFormat="1" ht="16.5" customHeight="1" thickBot="1" x14ac:dyDescent="0.35">
      <c r="A188" s="69" t="s">
        <v>18</v>
      </c>
      <c r="B188" s="70" t="s">
        <v>55</v>
      </c>
      <c r="C188" s="70" t="s">
        <v>399</v>
      </c>
      <c r="D188" s="71" t="s">
        <v>100</v>
      </c>
      <c r="E188" s="72"/>
      <c r="F188" s="72"/>
      <c r="G188" s="73"/>
      <c r="L188" s="65"/>
      <c r="M188" s="65"/>
      <c r="N188" s="65"/>
      <c r="O188" s="65"/>
      <c r="P188" s="65"/>
      <c r="Q188" s="65"/>
      <c r="R188" s="65"/>
      <c r="S188" s="66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</row>
    <row r="189" spans="1:32" ht="12" customHeight="1" x14ac:dyDescent="0.3">
      <c r="A189" s="74"/>
      <c r="B189" s="128" t="s">
        <v>56</v>
      </c>
      <c r="C189" s="129" t="s">
        <v>101</v>
      </c>
      <c r="D189" s="130" t="s">
        <v>102</v>
      </c>
      <c r="E189" s="131"/>
      <c r="F189" s="132">
        <f>F147</f>
        <v>6944.4444444444443</v>
      </c>
      <c r="G189" s="133">
        <f>E189*F189</f>
        <v>0</v>
      </c>
    </row>
    <row r="190" spans="1:32" ht="12" customHeight="1" x14ac:dyDescent="0.3">
      <c r="A190" s="74"/>
      <c r="B190" s="81" t="s">
        <v>56</v>
      </c>
      <c r="C190" s="82" t="s">
        <v>103</v>
      </c>
      <c r="D190" s="83" t="s">
        <v>102</v>
      </c>
      <c r="E190" s="84">
        <v>18</v>
      </c>
      <c r="F190" s="85">
        <f>F148</f>
        <v>6388.8888888888887</v>
      </c>
      <c r="G190" s="86">
        <f>E190*F190</f>
        <v>115000</v>
      </c>
    </row>
    <row r="191" spans="1:32" ht="12" customHeight="1" x14ac:dyDescent="0.3">
      <c r="A191" s="74"/>
      <c r="B191" s="81" t="s">
        <v>56</v>
      </c>
      <c r="C191" s="82" t="s">
        <v>104</v>
      </c>
      <c r="D191" s="83" t="s">
        <v>102</v>
      </c>
      <c r="E191" s="84"/>
      <c r="F191" s="85">
        <f t="shared" ref="F191:F193" si="7">F149</f>
        <v>5833.333333333333</v>
      </c>
      <c r="G191" s="86">
        <f>E191*F191</f>
        <v>0</v>
      </c>
    </row>
    <row r="192" spans="1:32" ht="12" customHeight="1" x14ac:dyDescent="0.3">
      <c r="A192" s="74"/>
      <c r="B192" s="81" t="s">
        <v>56</v>
      </c>
      <c r="C192" s="82" t="s">
        <v>57</v>
      </c>
      <c r="D192" s="83" t="s">
        <v>102</v>
      </c>
      <c r="E192" s="84"/>
      <c r="F192" s="85">
        <f t="shared" si="7"/>
        <v>5277.7777777777774</v>
      </c>
      <c r="G192" s="86">
        <f>E192*F192</f>
        <v>0</v>
      </c>
    </row>
    <row r="193" spans="1:25" ht="12" customHeight="1" x14ac:dyDescent="0.3">
      <c r="A193" s="74"/>
      <c r="B193" s="81" t="s">
        <v>56</v>
      </c>
      <c r="C193" s="82" t="s">
        <v>105</v>
      </c>
      <c r="D193" s="83" t="s">
        <v>102</v>
      </c>
      <c r="E193" s="84">
        <v>27</v>
      </c>
      <c r="F193" s="85">
        <f t="shared" si="7"/>
        <v>5277.7777777777774</v>
      </c>
      <c r="G193" s="86">
        <f>E193*F193</f>
        <v>142500</v>
      </c>
      <c r="I193" s="56">
        <v>110</v>
      </c>
    </row>
    <row r="194" spans="1:25" ht="12" customHeight="1" thickBot="1" x14ac:dyDescent="0.35">
      <c r="A194" s="74"/>
      <c r="B194" s="87" t="s">
        <v>106</v>
      </c>
      <c r="C194" s="88"/>
      <c r="D194" s="89"/>
      <c r="E194" s="90"/>
      <c r="F194" s="91"/>
      <c r="G194" s="92">
        <f>SUM(G189:G193)</f>
        <v>257500</v>
      </c>
      <c r="I194" s="93"/>
      <c r="K194" s="94">
        <f>K215</f>
        <v>5.9</v>
      </c>
      <c r="T194" s="59">
        <f>G194</f>
        <v>257500</v>
      </c>
      <c r="U194" s="84">
        <v>5.9</v>
      </c>
      <c r="V194" s="59">
        <f>U194*T194</f>
        <v>1519250</v>
      </c>
      <c r="W194" s="59"/>
      <c r="X194" s="59"/>
      <c r="Y194" s="59"/>
    </row>
    <row r="195" spans="1:25" ht="12" customHeight="1" x14ac:dyDescent="0.3">
      <c r="A195" s="74"/>
      <c r="B195" s="75" t="s">
        <v>58</v>
      </c>
      <c r="C195" s="52" t="s">
        <v>190</v>
      </c>
      <c r="D195" s="53" t="s">
        <v>60</v>
      </c>
      <c r="E195" s="54">
        <v>14.4</v>
      </c>
      <c r="F195" s="55">
        <f>206000/40</f>
        <v>5150</v>
      </c>
      <c r="G195" s="80">
        <f t="shared" ref="G195:G205" si="8">E195*F195</f>
        <v>74160</v>
      </c>
      <c r="I195" s="56">
        <f>E195*J195/50</f>
        <v>31.68</v>
      </c>
      <c r="J195" s="56">
        <v>110</v>
      </c>
    </row>
    <row r="196" spans="1:25" ht="12" customHeight="1" x14ac:dyDescent="0.3">
      <c r="A196" s="74"/>
      <c r="B196" s="81" t="s">
        <v>58</v>
      </c>
      <c r="C196" s="52" t="s">
        <v>401</v>
      </c>
      <c r="D196" s="53" t="s">
        <v>174</v>
      </c>
      <c r="E196" s="54">
        <v>14.4</v>
      </c>
      <c r="F196" s="55">
        <v>860</v>
      </c>
      <c r="G196" s="86">
        <f t="shared" si="8"/>
        <v>12384</v>
      </c>
      <c r="I196" s="56">
        <f>E196*J196</f>
        <v>1584</v>
      </c>
      <c r="J196" s="56">
        <v>110</v>
      </c>
    </row>
    <row r="197" spans="1:25" ht="12" customHeight="1" x14ac:dyDescent="0.3">
      <c r="A197" s="74"/>
      <c r="B197" s="81" t="s">
        <v>58</v>
      </c>
      <c r="C197" s="52"/>
      <c r="D197" s="53"/>
      <c r="E197" s="54"/>
      <c r="F197" s="55"/>
      <c r="G197" s="86">
        <f t="shared" si="8"/>
        <v>0</v>
      </c>
      <c r="I197" s="56">
        <f>E197*J197</f>
        <v>0</v>
      </c>
      <c r="J197" s="56">
        <v>110</v>
      </c>
    </row>
    <row r="198" spans="1:25" ht="12" customHeight="1" x14ac:dyDescent="0.3">
      <c r="A198" s="74"/>
      <c r="B198" s="81" t="s">
        <v>58</v>
      </c>
      <c r="C198" s="52"/>
      <c r="D198" s="53"/>
      <c r="E198" s="54"/>
      <c r="F198" s="55"/>
      <c r="G198" s="86">
        <f t="shared" si="8"/>
        <v>0</v>
      </c>
      <c r="I198" s="56">
        <f>E198*J198</f>
        <v>0</v>
      </c>
      <c r="J198" s="56">
        <v>110</v>
      </c>
    </row>
    <row r="199" spans="1:25" ht="12" customHeight="1" x14ac:dyDescent="0.3">
      <c r="A199" s="74"/>
      <c r="B199" s="81" t="s">
        <v>58</v>
      </c>
      <c r="C199" s="82"/>
      <c r="D199" s="83"/>
      <c r="E199" s="84"/>
      <c r="F199" s="85"/>
      <c r="G199" s="86">
        <f t="shared" si="8"/>
        <v>0</v>
      </c>
      <c r="R199" s="59">
        <f>(G199+G198+G197+G196)*K194</f>
        <v>73065.600000000006</v>
      </c>
    </row>
    <row r="200" spans="1:25" ht="12" customHeight="1" x14ac:dyDescent="0.3">
      <c r="A200" s="74"/>
      <c r="B200" s="81" t="s">
        <v>58</v>
      </c>
      <c r="C200" s="82"/>
      <c r="D200" s="83"/>
      <c r="E200" s="84"/>
      <c r="F200" s="85"/>
      <c r="G200" s="86">
        <f t="shared" si="8"/>
        <v>0</v>
      </c>
    </row>
    <row r="201" spans="1:25" ht="12" customHeight="1" x14ac:dyDescent="0.3">
      <c r="A201" s="74"/>
      <c r="B201" s="81" t="s">
        <v>58</v>
      </c>
      <c r="C201" s="82"/>
      <c r="D201" s="83"/>
      <c r="E201" s="84"/>
      <c r="F201" s="85"/>
      <c r="G201" s="86">
        <f t="shared" si="8"/>
        <v>0</v>
      </c>
    </row>
    <row r="202" spans="1:25" ht="12" customHeight="1" x14ac:dyDescent="0.3">
      <c r="A202" s="74"/>
      <c r="B202" s="81" t="s">
        <v>58</v>
      </c>
      <c r="C202" s="82"/>
      <c r="D202" s="83"/>
      <c r="E202" s="84"/>
      <c r="F202" s="85"/>
      <c r="G202" s="86">
        <f t="shared" si="8"/>
        <v>0</v>
      </c>
    </row>
    <row r="203" spans="1:25" ht="12" customHeight="1" x14ac:dyDescent="0.3">
      <c r="A203" s="74"/>
      <c r="B203" s="81" t="s">
        <v>58</v>
      </c>
      <c r="C203" s="82"/>
      <c r="D203" s="83"/>
      <c r="E203" s="84"/>
      <c r="F203" s="85"/>
      <c r="G203" s="86">
        <f t="shared" si="8"/>
        <v>0</v>
      </c>
    </row>
    <row r="204" spans="1:25" ht="12" customHeight="1" x14ac:dyDescent="0.3">
      <c r="A204" s="74"/>
      <c r="B204" s="81" t="s">
        <v>58</v>
      </c>
      <c r="C204" s="82"/>
      <c r="D204" s="83"/>
      <c r="E204" s="84"/>
      <c r="F204" s="85"/>
      <c r="G204" s="86">
        <f t="shared" si="8"/>
        <v>0</v>
      </c>
      <c r="J204" s="56">
        <f>0.2*0.16*0.34</f>
        <v>1.0880000000000001E-2</v>
      </c>
    </row>
    <row r="205" spans="1:25" ht="12" customHeight="1" x14ac:dyDescent="0.3">
      <c r="A205" s="74"/>
      <c r="B205" s="81" t="s">
        <v>58</v>
      </c>
      <c r="C205" s="82"/>
      <c r="D205" s="83"/>
      <c r="E205" s="84"/>
      <c r="F205" s="85"/>
      <c r="G205" s="86">
        <f t="shared" si="8"/>
        <v>0</v>
      </c>
      <c r="J205" s="56">
        <v>12.5</v>
      </c>
    </row>
    <row r="206" spans="1:25" ht="12" customHeight="1" x14ac:dyDescent="0.3">
      <c r="A206" s="74"/>
      <c r="B206" s="81" t="s">
        <v>58</v>
      </c>
      <c r="C206" s="82"/>
      <c r="D206" s="83"/>
      <c r="E206" s="84"/>
      <c r="F206" s="85"/>
      <c r="G206" s="86"/>
      <c r="J206" s="56">
        <f>J205*J204</f>
        <v>0.13600000000000001</v>
      </c>
    </row>
    <row r="207" spans="1:25" ht="12" customHeight="1" x14ac:dyDescent="0.3">
      <c r="A207" s="74"/>
      <c r="B207" s="81" t="s">
        <v>58</v>
      </c>
      <c r="C207" s="82"/>
      <c r="D207" s="83"/>
      <c r="E207" s="84"/>
      <c r="F207" s="85"/>
      <c r="G207" s="86"/>
    </row>
    <row r="208" spans="1:25" ht="12" customHeight="1" x14ac:dyDescent="0.3">
      <c r="A208" s="74"/>
      <c r="B208" s="81" t="s">
        <v>58</v>
      </c>
      <c r="C208" s="82"/>
      <c r="D208" s="83"/>
      <c r="E208" s="84"/>
      <c r="F208" s="85"/>
      <c r="G208" s="86"/>
    </row>
    <row r="209" spans="1:32" ht="12" customHeight="1" thickBot="1" x14ac:dyDescent="0.35">
      <c r="A209" s="95"/>
      <c r="B209" s="87" t="s">
        <v>107</v>
      </c>
      <c r="C209" s="96"/>
      <c r="D209" s="89"/>
      <c r="E209" s="90"/>
      <c r="F209" s="91"/>
      <c r="G209" s="92">
        <f>SUM(G195:G208)</f>
        <v>86544</v>
      </c>
      <c r="Z209" s="59">
        <f>G209</f>
        <v>86544</v>
      </c>
    </row>
    <row r="210" spans="1:32" ht="9" customHeight="1" thickBot="1" x14ac:dyDescent="0.35">
      <c r="A210" s="95"/>
      <c r="B210" s="95"/>
      <c r="C210" s="97"/>
      <c r="D210" s="98"/>
      <c r="E210" s="99"/>
      <c r="F210" s="100"/>
      <c r="G210" s="100"/>
    </row>
    <row r="211" spans="1:32" ht="12" customHeight="1" x14ac:dyDescent="0.3">
      <c r="A211" s="95"/>
      <c r="B211" s="101">
        <v>1</v>
      </c>
      <c r="C211" s="102" t="s">
        <v>68</v>
      </c>
      <c r="D211" s="103" t="s">
        <v>67</v>
      </c>
      <c r="E211" s="104"/>
      <c r="F211" s="105"/>
      <c r="G211" s="106">
        <f>G194</f>
        <v>257500</v>
      </c>
    </row>
    <row r="212" spans="1:32" ht="12" customHeight="1" x14ac:dyDescent="0.3">
      <c r="A212" s="95"/>
      <c r="B212" s="107">
        <v>2</v>
      </c>
      <c r="C212" s="108" t="s">
        <v>66</v>
      </c>
      <c r="D212" s="109" t="s">
        <v>69</v>
      </c>
      <c r="E212" s="110"/>
      <c r="F212" s="111"/>
      <c r="G212" s="112">
        <f>G209</f>
        <v>86544</v>
      </c>
    </row>
    <row r="213" spans="1:32" ht="12" customHeight="1" x14ac:dyDescent="0.3">
      <c r="A213" s="95"/>
      <c r="B213" s="107">
        <v>3</v>
      </c>
      <c r="C213" s="108" t="s">
        <v>70</v>
      </c>
      <c r="D213" s="109" t="s">
        <v>71</v>
      </c>
      <c r="E213" s="110"/>
      <c r="F213" s="111"/>
      <c r="G213" s="112"/>
    </row>
    <row r="214" spans="1:32" ht="12" customHeight="1" x14ac:dyDescent="0.3">
      <c r="A214" s="95"/>
      <c r="B214" s="107">
        <v>4</v>
      </c>
      <c r="C214" s="113" t="s">
        <v>72</v>
      </c>
      <c r="D214" s="109" t="s">
        <v>73</v>
      </c>
      <c r="E214" s="110"/>
      <c r="F214" s="111"/>
      <c r="G214" s="114">
        <f>SUM(G211:G213)</f>
        <v>344044</v>
      </c>
      <c r="H214" s="93"/>
      <c r="I214" s="93"/>
      <c r="J214" s="93"/>
      <c r="K214" s="93"/>
      <c r="L214" s="59"/>
      <c r="M214" s="59"/>
      <c r="N214" s="59"/>
      <c r="O214" s="59"/>
      <c r="P214" s="59"/>
      <c r="Q214" s="59"/>
      <c r="R214" s="59"/>
      <c r="S214" s="115"/>
    </row>
    <row r="215" spans="1:32" ht="12" customHeight="1" x14ac:dyDescent="0.3">
      <c r="A215" s="95"/>
      <c r="B215" s="107">
        <v>5</v>
      </c>
      <c r="C215" s="108" t="s">
        <v>108</v>
      </c>
      <c r="D215" s="109" t="s">
        <v>109</v>
      </c>
      <c r="E215" s="116">
        <v>0.12</v>
      </c>
      <c r="F215" s="111"/>
      <c r="G215" s="112">
        <f>+G214*E215</f>
        <v>41285.279999999999</v>
      </c>
      <c r="J215" s="93">
        <f>G215</f>
        <v>41285.279999999999</v>
      </c>
      <c r="K215" s="84">
        <v>5.9</v>
      </c>
      <c r="L215" s="59">
        <f>K215*J215</f>
        <v>243583.152</v>
      </c>
      <c r="M215" s="59"/>
      <c r="N215" s="59"/>
      <c r="O215" s="59"/>
      <c r="P215" s="59"/>
      <c r="Q215" s="59"/>
      <c r="R215" s="59"/>
      <c r="AA215" s="59">
        <f>G215</f>
        <v>41285.279999999999</v>
      </c>
    </row>
    <row r="216" spans="1:32" ht="12" customHeight="1" x14ac:dyDescent="0.3">
      <c r="A216" s="95"/>
      <c r="B216" s="107">
        <v>6</v>
      </c>
      <c r="C216" s="113" t="s">
        <v>110</v>
      </c>
      <c r="D216" s="109" t="s">
        <v>74</v>
      </c>
      <c r="E216" s="116"/>
      <c r="F216" s="111"/>
      <c r="G216" s="114">
        <f>G215+G214</f>
        <v>385329.28</v>
      </c>
    </row>
    <row r="217" spans="1:32" ht="12" customHeight="1" x14ac:dyDescent="0.3">
      <c r="A217" s="95"/>
      <c r="B217" s="107">
        <v>7</v>
      </c>
      <c r="C217" s="108" t="s">
        <v>111</v>
      </c>
      <c r="D217" s="109" t="s">
        <v>112</v>
      </c>
      <c r="E217" s="116">
        <v>0.05</v>
      </c>
      <c r="F217" s="111"/>
      <c r="G217" s="112">
        <f>+G216*E217</f>
        <v>19266.464000000004</v>
      </c>
      <c r="J217" s="93">
        <f>G217</f>
        <v>19266.464000000004</v>
      </c>
      <c r="K217" s="84">
        <v>5.9</v>
      </c>
      <c r="M217" s="59">
        <f>K217*J217</f>
        <v>113672.13760000003</v>
      </c>
      <c r="N217" s="59"/>
      <c r="O217" s="59"/>
      <c r="P217" s="59"/>
      <c r="Q217" s="59"/>
      <c r="R217" s="59"/>
      <c r="AB217" s="59">
        <f>G217</f>
        <v>19266.464000000004</v>
      </c>
    </row>
    <row r="218" spans="1:32" ht="12" customHeight="1" x14ac:dyDescent="0.3">
      <c r="A218" s="95"/>
      <c r="B218" s="107">
        <v>8</v>
      </c>
      <c r="C218" s="108" t="s">
        <v>113</v>
      </c>
      <c r="D218" s="109" t="s">
        <v>114</v>
      </c>
      <c r="E218" s="116">
        <v>0.03</v>
      </c>
      <c r="F218" s="111"/>
      <c r="G218" s="112">
        <f>G216*E218</f>
        <v>11559.8784</v>
      </c>
      <c r="J218" s="93">
        <f>G218</f>
        <v>11559.8784</v>
      </c>
      <c r="K218" s="84">
        <v>5.9</v>
      </c>
      <c r="M218" s="59"/>
      <c r="N218" s="59">
        <f>K218*J218</f>
        <v>68203.282560000007</v>
      </c>
      <c r="O218" s="59"/>
      <c r="P218" s="59"/>
      <c r="Q218" s="59"/>
      <c r="R218" s="59"/>
      <c r="AC218" s="59">
        <f>G218</f>
        <v>11559.8784</v>
      </c>
    </row>
    <row r="219" spans="1:32" ht="12" customHeight="1" x14ac:dyDescent="0.3">
      <c r="A219" s="95"/>
      <c r="B219" s="107">
        <v>9</v>
      </c>
      <c r="C219" s="108" t="s">
        <v>75</v>
      </c>
      <c r="D219" s="109" t="s">
        <v>115</v>
      </c>
      <c r="E219" s="116">
        <v>0.2</v>
      </c>
      <c r="F219" s="111"/>
      <c r="G219" s="112">
        <f>G216*E219</f>
        <v>77065.856000000014</v>
      </c>
      <c r="J219" s="93">
        <f>G219</f>
        <v>77065.856000000014</v>
      </c>
      <c r="K219" s="84">
        <v>5.9</v>
      </c>
      <c r="M219" s="59"/>
      <c r="N219" s="59"/>
      <c r="O219" s="59">
        <f>K219*J219</f>
        <v>454688.55040000012</v>
      </c>
      <c r="P219" s="59"/>
      <c r="Q219" s="59"/>
      <c r="R219" s="59"/>
      <c r="W219" s="59">
        <f>G219+G218+G217+G215</f>
        <v>149177.47840000002</v>
      </c>
      <c r="X219" s="58">
        <v>5.9</v>
      </c>
      <c r="Y219" s="59">
        <f>X219*W219</f>
        <v>880147.12256000016</v>
      </c>
      <c r="AD219" s="59">
        <f>G219</f>
        <v>77065.856000000014</v>
      </c>
    </row>
    <row r="220" spans="1:32" ht="12" customHeight="1" x14ac:dyDescent="0.3">
      <c r="A220" s="95"/>
      <c r="B220" s="107">
        <v>10</v>
      </c>
      <c r="C220" s="113" t="s">
        <v>76</v>
      </c>
      <c r="D220" s="109" t="s">
        <v>116</v>
      </c>
      <c r="E220" s="116"/>
      <c r="F220" s="111"/>
      <c r="G220" s="114">
        <f>G219+G218+G217+G216</f>
        <v>493221.47840000002</v>
      </c>
    </row>
    <row r="221" spans="1:32" ht="12" customHeight="1" x14ac:dyDescent="0.3">
      <c r="A221" s="95"/>
      <c r="B221" s="107">
        <v>11</v>
      </c>
      <c r="C221" s="113" t="s">
        <v>117</v>
      </c>
      <c r="D221" s="109" t="s">
        <v>118</v>
      </c>
      <c r="E221" s="116"/>
      <c r="F221" s="111"/>
      <c r="G221" s="112">
        <f>G220-G212</f>
        <v>406677.47840000002</v>
      </c>
    </row>
    <row r="222" spans="1:32" ht="12" customHeight="1" x14ac:dyDescent="0.3">
      <c r="A222" s="95"/>
      <c r="B222" s="107">
        <v>12</v>
      </c>
      <c r="C222" s="108" t="s">
        <v>119</v>
      </c>
      <c r="D222" s="109" t="s">
        <v>77</v>
      </c>
      <c r="E222" s="116">
        <v>0.03</v>
      </c>
      <c r="F222" s="111"/>
      <c r="G222" s="112">
        <f>G220*E222</f>
        <v>14796.644351999999</v>
      </c>
      <c r="J222" s="93">
        <f>G222</f>
        <v>14796.644351999999</v>
      </c>
      <c r="K222" s="84">
        <v>5.9</v>
      </c>
      <c r="M222" s="59"/>
      <c r="N222" s="59"/>
      <c r="O222" s="59"/>
      <c r="P222" s="59">
        <f>K222*J222</f>
        <v>87300.201676800003</v>
      </c>
      <c r="Q222" s="59"/>
      <c r="R222" s="59"/>
      <c r="T222" s="59"/>
      <c r="U222" s="59"/>
      <c r="V222" s="59"/>
      <c r="W222" s="59"/>
      <c r="X222" s="59"/>
      <c r="Y222" s="59"/>
      <c r="AE222" s="59">
        <f>G222</f>
        <v>14796.644351999999</v>
      </c>
    </row>
    <row r="223" spans="1:32" ht="12" customHeight="1" thickBot="1" x14ac:dyDescent="0.35">
      <c r="A223" s="95"/>
      <c r="B223" s="117">
        <v>13</v>
      </c>
      <c r="C223" s="88" t="s">
        <v>78</v>
      </c>
      <c r="D223" s="89"/>
      <c r="E223" s="118">
        <v>0.35</v>
      </c>
      <c r="F223" s="91"/>
      <c r="G223" s="119">
        <f>G219*E223</f>
        <v>26973.049600000002</v>
      </c>
      <c r="J223" s="93">
        <f>G223</f>
        <v>26973.049600000002</v>
      </c>
      <c r="K223" s="84">
        <v>5.9</v>
      </c>
      <c r="M223" s="59"/>
      <c r="N223" s="59"/>
      <c r="O223" s="59"/>
      <c r="P223" s="59"/>
      <c r="Q223" s="59">
        <f>K223*J223</f>
        <v>159140.99264000001</v>
      </c>
      <c r="R223" s="59"/>
      <c r="Z223" s="59"/>
      <c r="AF223" s="59">
        <f>G223</f>
        <v>26973.049600000002</v>
      </c>
    </row>
    <row r="224" spans="1:32" ht="8.25" customHeight="1" thickBot="1" x14ac:dyDescent="0.35">
      <c r="A224" s="95"/>
      <c r="B224" s="120"/>
      <c r="C224" s="121"/>
      <c r="D224" s="120"/>
      <c r="E224" s="122"/>
      <c r="F224" s="123"/>
      <c r="G224" s="123"/>
      <c r="Z224" s="59"/>
    </row>
    <row r="225" spans="1:32" ht="15" customHeight="1" x14ac:dyDescent="0.3">
      <c r="A225" s="95"/>
      <c r="B225" s="101">
        <v>14</v>
      </c>
      <c r="C225" s="102" t="s">
        <v>120</v>
      </c>
      <c r="D225" s="103" t="s">
        <v>121</v>
      </c>
      <c r="E225" s="104"/>
      <c r="F225" s="105"/>
      <c r="G225" s="124">
        <f>G220+G222+G223</f>
        <v>534991.17235200002</v>
      </c>
    </row>
    <row r="226" spans="1:32" ht="15" customHeight="1" x14ac:dyDescent="0.3">
      <c r="A226" s="95"/>
      <c r="B226" s="107">
        <v>15</v>
      </c>
      <c r="C226" s="108" t="s">
        <v>122</v>
      </c>
      <c r="D226" s="109" t="s">
        <v>123</v>
      </c>
      <c r="E226" s="110"/>
      <c r="F226" s="111"/>
      <c r="G226" s="114">
        <f>(G220+G222+G223)*1.21</f>
        <v>647339.31854591996</v>
      </c>
    </row>
    <row r="227" spans="1:32" ht="15" customHeight="1" x14ac:dyDescent="0.3">
      <c r="A227" s="95"/>
      <c r="B227" s="107">
        <v>16</v>
      </c>
      <c r="C227" s="108" t="s">
        <v>124</v>
      </c>
      <c r="D227" s="109" t="s">
        <v>121</v>
      </c>
      <c r="E227" s="110"/>
      <c r="F227" s="111"/>
      <c r="G227" s="126">
        <f>G221+G222+G223</f>
        <v>448447.17235200002</v>
      </c>
      <c r="I227" s="93">
        <f>G227/1360</f>
        <v>329.74056790588236</v>
      </c>
    </row>
    <row r="228" spans="1:32" ht="15" customHeight="1" thickBot="1" x14ac:dyDescent="0.35">
      <c r="A228" s="95"/>
      <c r="B228" s="117">
        <v>17</v>
      </c>
      <c r="C228" s="88" t="s">
        <v>125</v>
      </c>
      <c r="D228" s="89" t="s">
        <v>123</v>
      </c>
      <c r="E228" s="90"/>
      <c r="F228" s="91"/>
      <c r="G228" s="127">
        <f>(G221+G222+G223)*1.21</f>
        <v>542621.07854591997</v>
      </c>
    </row>
    <row r="229" spans="1:32" ht="10.8" thickBot="1" x14ac:dyDescent="0.35"/>
    <row r="230" spans="1:32" s="61" customFormat="1" ht="16.5" customHeight="1" thickBot="1" x14ac:dyDescent="0.35">
      <c r="A230" s="69" t="s">
        <v>18</v>
      </c>
      <c r="B230" s="70" t="s">
        <v>55</v>
      </c>
      <c r="C230" s="70" t="s">
        <v>403</v>
      </c>
      <c r="D230" s="71" t="s">
        <v>100</v>
      </c>
      <c r="E230" s="72"/>
      <c r="F230" s="72"/>
      <c r="G230" s="73"/>
      <c r="L230" s="65"/>
      <c r="M230" s="65"/>
      <c r="N230" s="65"/>
      <c r="O230" s="65"/>
      <c r="P230" s="65"/>
      <c r="Q230" s="65"/>
      <c r="R230" s="65"/>
      <c r="S230" s="66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</row>
    <row r="231" spans="1:32" ht="12" customHeight="1" x14ac:dyDescent="0.3">
      <c r="A231" s="74"/>
      <c r="B231" s="128" t="s">
        <v>56</v>
      </c>
      <c r="C231" s="129" t="s">
        <v>101</v>
      </c>
      <c r="D231" s="130" t="s">
        <v>102</v>
      </c>
      <c r="E231" s="131"/>
      <c r="F231" s="132">
        <f>F189</f>
        <v>6944.4444444444443</v>
      </c>
      <c r="G231" s="133">
        <f>E231*F231</f>
        <v>0</v>
      </c>
    </row>
    <row r="232" spans="1:32" ht="12" customHeight="1" x14ac:dyDescent="0.3">
      <c r="A232" s="74"/>
      <c r="B232" s="81" t="s">
        <v>56</v>
      </c>
      <c r="C232" s="82" t="s">
        <v>103</v>
      </c>
      <c r="D232" s="83" t="s">
        <v>102</v>
      </c>
      <c r="E232" s="84">
        <v>0.9</v>
      </c>
      <c r="F232" s="85">
        <f>F190</f>
        <v>6388.8888888888887</v>
      </c>
      <c r="G232" s="86">
        <f>E232*F232</f>
        <v>5750</v>
      </c>
    </row>
    <row r="233" spans="1:32" ht="12" customHeight="1" x14ac:dyDescent="0.3">
      <c r="A233" s="74"/>
      <c r="B233" s="81" t="s">
        <v>56</v>
      </c>
      <c r="C233" s="82" t="s">
        <v>104</v>
      </c>
      <c r="D233" s="83" t="s">
        <v>102</v>
      </c>
      <c r="E233" s="84"/>
      <c r="F233" s="85">
        <f t="shared" ref="F233:F235" si="9">F191</f>
        <v>5833.333333333333</v>
      </c>
      <c r="G233" s="86">
        <f>E233*F233</f>
        <v>0</v>
      </c>
    </row>
    <row r="234" spans="1:32" ht="12" customHeight="1" x14ac:dyDescent="0.3">
      <c r="A234" s="74"/>
      <c r="B234" s="81" t="s">
        <v>56</v>
      </c>
      <c r="C234" s="82" t="s">
        <v>57</v>
      </c>
      <c r="D234" s="83" t="s">
        <v>102</v>
      </c>
      <c r="E234" s="84">
        <v>0.4</v>
      </c>
      <c r="F234" s="85">
        <f t="shared" si="9"/>
        <v>5277.7777777777774</v>
      </c>
      <c r="G234" s="86">
        <f>E234*F234</f>
        <v>2111.1111111111109</v>
      </c>
    </row>
    <row r="235" spans="1:32" ht="12" customHeight="1" x14ac:dyDescent="0.3">
      <c r="A235" s="74"/>
      <c r="B235" s="81" t="s">
        <v>56</v>
      </c>
      <c r="C235" s="82" t="s">
        <v>105</v>
      </c>
      <c r="D235" s="83" t="s">
        <v>102</v>
      </c>
      <c r="E235" s="84">
        <v>0</v>
      </c>
      <c r="F235" s="85">
        <f t="shared" si="9"/>
        <v>5277.7777777777774</v>
      </c>
      <c r="G235" s="86">
        <f>E235*F235</f>
        <v>0</v>
      </c>
      <c r="I235" s="56">
        <v>110</v>
      </c>
    </row>
    <row r="236" spans="1:32" ht="12" customHeight="1" thickBot="1" x14ac:dyDescent="0.35">
      <c r="A236" s="74"/>
      <c r="B236" s="87" t="s">
        <v>106</v>
      </c>
      <c r="C236" s="88"/>
      <c r="D236" s="89"/>
      <c r="E236" s="90"/>
      <c r="F236" s="91"/>
      <c r="G236" s="92">
        <f>SUM(G231:G235)</f>
        <v>7861.1111111111113</v>
      </c>
      <c r="I236" s="93"/>
      <c r="K236" s="94">
        <f>K257</f>
        <v>5.9</v>
      </c>
      <c r="T236" s="59">
        <f>G236</f>
        <v>7861.1111111111113</v>
      </c>
      <c r="U236" s="84">
        <v>5.9</v>
      </c>
      <c r="V236" s="59">
        <f>U236*T236</f>
        <v>46380.555555555562</v>
      </c>
      <c r="W236" s="59"/>
      <c r="X236" s="59"/>
      <c r="Y236" s="59"/>
    </row>
    <row r="237" spans="1:32" ht="12" customHeight="1" x14ac:dyDescent="0.3">
      <c r="A237" s="74"/>
      <c r="B237" s="75" t="s">
        <v>58</v>
      </c>
      <c r="C237" s="52" t="s">
        <v>402</v>
      </c>
      <c r="D237" s="53" t="s">
        <v>404</v>
      </c>
      <c r="E237" s="54">
        <v>0.5</v>
      </c>
      <c r="F237" s="55">
        <v>12000</v>
      </c>
      <c r="G237" s="80">
        <f t="shared" ref="G237:G247" si="10">E237*F237</f>
        <v>6000</v>
      </c>
      <c r="I237" s="56">
        <f>E237*J237/50</f>
        <v>1.1000000000000001</v>
      </c>
      <c r="J237" s="56">
        <v>110</v>
      </c>
    </row>
    <row r="238" spans="1:32" ht="12" customHeight="1" x14ac:dyDescent="0.3">
      <c r="A238" s="74"/>
      <c r="B238" s="81" t="s">
        <v>58</v>
      </c>
      <c r="C238" s="52"/>
      <c r="D238" s="53"/>
      <c r="E238" s="54"/>
      <c r="F238" s="55"/>
      <c r="G238" s="86">
        <f t="shared" si="10"/>
        <v>0</v>
      </c>
      <c r="I238" s="56">
        <f>E238*J238</f>
        <v>0</v>
      </c>
      <c r="J238" s="56">
        <v>110</v>
      </c>
    </row>
    <row r="239" spans="1:32" ht="12" customHeight="1" x14ac:dyDescent="0.3">
      <c r="A239" s="74"/>
      <c r="B239" s="81" t="s">
        <v>58</v>
      </c>
      <c r="C239" s="52"/>
      <c r="D239" s="53"/>
      <c r="E239" s="54"/>
      <c r="F239" s="55"/>
      <c r="G239" s="86">
        <f t="shared" si="10"/>
        <v>0</v>
      </c>
      <c r="I239" s="56">
        <f>E239*J239</f>
        <v>0</v>
      </c>
      <c r="J239" s="56">
        <v>110</v>
      </c>
    </row>
    <row r="240" spans="1:32" ht="12" customHeight="1" x14ac:dyDescent="0.3">
      <c r="A240" s="74"/>
      <c r="B240" s="81" t="s">
        <v>58</v>
      </c>
      <c r="C240" s="52"/>
      <c r="D240" s="53"/>
      <c r="E240" s="54"/>
      <c r="F240" s="55"/>
      <c r="G240" s="86">
        <f t="shared" si="10"/>
        <v>0</v>
      </c>
      <c r="I240" s="56">
        <f>E240*J240</f>
        <v>0</v>
      </c>
      <c r="J240" s="56">
        <v>110</v>
      </c>
    </row>
    <row r="241" spans="1:26" ht="12" customHeight="1" x14ac:dyDescent="0.3">
      <c r="A241" s="74"/>
      <c r="B241" s="81" t="s">
        <v>58</v>
      </c>
      <c r="C241" s="82"/>
      <c r="D241" s="83"/>
      <c r="E241" s="84"/>
      <c r="F241" s="85"/>
      <c r="G241" s="86">
        <f t="shared" si="10"/>
        <v>0</v>
      </c>
      <c r="R241" s="59">
        <f>(G241+G240+G239+G238)*K236</f>
        <v>0</v>
      </c>
    </row>
    <row r="242" spans="1:26" ht="12" customHeight="1" x14ac:dyDescent="0.3">
      <c r="A242" s="74"/>
      <c r="B242" s="81" t="s">
        <v>58</v>
      </c>
      <c r="C242" s="82"/>
      <c r="D242" s="83"/>
      <c r="E242" s="84"/>
      <c r="F242" s="85"/>
      <c r="G242" s="86">
        <f t="shared" si="10"/>
        <v>0</v>
      </c>
    </row>
    <row r="243" spans="1:26" ht="12" customHeight="1" x14ac:dyDescent="0.3">
      <c r="A243" s="74"/>
      <c r="B243" s="81" t="s">
        <v>58</v>
      </c>
      <c r="C243" s="82"/>
      <c r="D243" s="83"/>
      <c r="E243" s="84"/>
      <c r="F243" s="85"/>
      <c r="G243" s="86">
        <f t="shared" si="10"/>
        <v>0</v>
      </c>
    </row>
    <row r="244" spans="1:26" ht="12" customHeight="1" x14ac:dyDescent="0.3">
      <c r="A244" s="74"/>
      <c r="B244" s="81" t="s">
        <v>58</v>
      </c>
      <c r="C244" s="82"/>
      <c r="D244" s="83"/>
      <c r="E244" s="84"/>
      <c r="F244" s="85"/>
      <c r="G244" s="86">
        <f t="shared" si="10"/>
        <v>0</v>
      </c>
    </row>
    <row r="245" spans="1:26" ht="12" customHeight="1" x14ac:dyDescent="0.3">
      <c r="A245" s="74"/>
      <c r="B245" s="81" t="s">
        <v>58</v>
      </c>
      <c r="C245" s="82"/>
      <c r="D245" s="83"/>
      <c r="E245" s="84"/>
      <c r="F245" s="85"/>
      <c r="G245" s="86">
        <f t="shared" si="10"/>
        <v>0</v>
      </c>
    </row>
    <row r="246" spans="1:26" ht="12" customHeight="1" x14ac:dyDescent="0.3">
      <c r="A246" s="74"/>
      <c r="B246" s="81" t="s">
        <v>58</v>
      </c>
      <c r="C246" s="82"/>
      <c r="D246" s="83"/>
      <c r="E246" s="84"/>
      <c r="F246" s="85"/>
      <c r="G246" s="86">
        <f t="shared" si="10"/>
        <v>0</v>
      </c>
      <c r="J246" s="56">
        <f>0.2*0.16*0.34</f>
        <v>1.0880000000000001E-2</v>
      </c>
    </row>
    <row r="247" spans="1:26" ht="12" customHeight="1" x14ac:dyDescent="0.3">
      <c r="A247" s="74"/>
      <c r="B247" s="81" t="s">
        <v>58</v>
      </c>
      <c r="C247" s="82"/>
      <c r="D247" s="83"/>
      <c r="E247" s="84"/>
      <c r="F247" s="85"/>
      <c r="G247" s="86">
        <f t="shared" si="10"/>
        <v>0</v>
      </c>
      <c r="J247" s="56">
        <v>12.5</v>
      </c>
    </row>
    <row r="248" spans="1:26" ht="12" customHeight="1" x14ac:dyDescent="0.3">
      <c r="A248" s="74"/>
      <c r="B248" s="81" t="s">
        <v>58</v>
      </c>
      <c r="C248" s="82"/>
      <c r="D248" s="83"/>
      <c r="E248" s="84"/>
      <c r="F248" s="85"/>
      <c r="G248" s="86"/>
      <c r="J248" s="56">
        <f>J247*J246</f>
        <v>0.13600000000000001</v>
      </c>
    </row>
    <row r="249" spans="1:26" ht="12" customHeight="1" x14ac:dyDescent="0.3">
      <c r="A249" s="74"/>
      <c r="B249" s="81" t="s">
        <v>58</v>
      </c>
      <c r="C249" s="82"/>
      <c r="D249" s="83"/>
      <c r="E249" s="84"/>
      <c r="F249" s="85"/>
      <c r="G249" s="86"/>
    </row>
    <row r="250" spans="1:26" ht="12" customHeight="1" x14ac:dyDescent="0.3">
      <c r="A250" s="74"/>
      <c r="B250" s="81" t="s">
        <v>58</v>
      </c>
      <c r="C250" s="82"/>
      <c r="D250" s="83"/>
      <c r="E250" s="84"/>
      <c r="F250" s="85"/>
      <c r="G250" s="86"/>
    </row>
    <row r="251" spans="1:26" ht="12" customHeight="1" thickBot="1" x14ac:dyDescent="0.35">
      <c r="A251" s="95"/>
      <c r="B251" s="87" t="s">
        <v>107</v>
      </c>
      <c r="C251" s="96"/>
      <c r="D251" s="89"/>
      <c r="E251" s="90"/>
      <c r="F251" s="91"/>
      <c r="G251" s="92">
        <f>SUM(G237:G250)</f>
        <v>6000</v>
      </c>
      <c r="Z251" s="59">
        <f>G251</f>
        <v>6000</v>
      </c>
    </row>
    <row r="252" spans="1:26" ht="9" customHeight="1" thickBot="1" x14ac:dyDescent="0.35">
      <c r="A252" s="95"/>
      <c r="B252" s="95"/>
      <c r="C252" s="97"/>
      <c r="D252" s="98"/>
      <c r="E252" s="99"/>
      <c r="F252" s="100"/>
      <c r="G252" s="100"/>
    </row>
    <row r="253" spans="1:26" ht="12" customHeight="1" x14ac:dyDescent="0.3">
      <c r="A253" s="95"/>
      <c r="B253" s="101">
        <v>1</v>
      </c>
      <c r="C253" s="102" t="s">
        <v>68</v>
      </c>
      <c r="D253" s="103" t="s">
        <v>67</v>
      </c>
      <c r="E253" s="104"/>
      <c r="F253" s="105"/>
      <c r="G253" s="106">
        <f>G236</f>
        <v>7861.1111111111113</v>
      </c>
    </row>
    <row r="254" spans="1:26" ht="12" customHeight="1" x14ac:dyDescent="0.3">
      <c r="A254" s="95"/>
      <c r="B254" s="107">
        <v>2</v>
      </c>
      <c r="C254" s="108" t="s">
        <v>66</v>
      </c>
      <c r="D254" s="109" t="s">
        <v>69</v>
      </c>
      <c r="E254" s="110"/>
      <c r="F254" s="111"/>
      <c r="G254" s="112">
        <f>G251</f>
        <v>6000</v>
      </c>
    </row>
    <row r="255" spans="1:26" ht="12" customHeight="1" x14ac:dyDescent="0.3">
      <c r="A255" s="95"/>
      <c r="B255" s="107">
        <v>3</v>
      </c>
      <c r="C255" s="108" t="s">
        <v>70</v>
      </c>
      <c r="D255" s="109" t="s">
        <v>71</v>
      </c>
      <c r="E255" s="110"/>
      <c r="F255" s="111"/>
      <c r="G255" s="112"/>
    </row>
    <row r="256" spans="1:26" ht="12" customHeight="1" x14ac:dyDescent="0.3">
      <c r="A256" s="95"/>
      <c r="B256" s="107">
        <v>4</v>
      </c>
      <c r="C256" s="113" t="s">
        <v>72</v>
      </c>
      <c r="D256" s="109" t="s">
        <v>73</v>
      </c>
      <c r="E256" s="110"/>
      <c r="F256" s="111"/>
      <c r="G256" s="114">
        <f>SUM(G253:G255)</f>
        <v>13861.111111111111</v>
      </c>
      <c r="H256" s="93"/>
      <c r="I256" s="93"/>
      <c r="J256" s="93"/>
      <c r="K256" s="93"/>
      <c r="L256" s="59"/>
      <c r="M256" s="59"/>
      <c r="N256" s="59"/>
      <c r="O256" s="59"/>
      <c r="P256" s="59"/>
      <c r="Q256" s="59"/>
      <c r="R256" s="59"/>
      <c r="S256" s="115"/>
    </row>
    <row r="257" spans="1:32" ht="12" customHeight="1" x14ac:dyDescent="0.3">
      <c r="A257" s="95"/>
      <c r="B257" s="107">
        <v>5</v>
      </c>
      <c r="C257" s="108" t="s">
        <v>108</v>
      </c>
      <c r="D257" s="109" t="s">
        <v>109</v>
      </c>
      <c r="E257" s="116">
        <v>0.12</v>
      </c>
      <c r="F257" s="111"/>
      <c r="G257" s="112">
        <f>+G256*E257</f>
        <v>1663.3333333333333</v>
      </c>
      <c r="J257" s="93">
        <f>G257</f>
        <v>1663.3333333333333</v>
      </c>
      <c r="K257" s="84">
        <v>5.9</v>
      </c>
      <c r="L257" s="59">
        <f>K257*J257</f>
        <v>9813.6666666666661</v>
      </c>
      <c r="M257" s="59"/>
      <c r="N257" s="59"/>
      <c r="O257" s="59"/>
      <c r="P257" s="59"/>
      <c r="Q257" s="59"/>
      <c r="R257" s="59"/>
      <c r="AA257" s="59">
        <f>G257</f>
        <v>1663.3333333333333</v>
      </c>
    </row>
    <row r="258" spans="1:32" ht="12" customHeight="1" x14ac:dyDescent="0.3">
      <c r="A258" s="95"/>
      <c r="B258" s="107">
        <v>6</v>
      </c>
      <c r="C258" s="113" t="s">
        <v>110</v>
      </c>
      <c r="D258" s="109" t="s">
        <v>74</v>
      </c>
      <c r="E258" s="116"/>
      <c r="F258" s="111"/>
      <c r="G258" s="114">
        <f>G257+G256</f>
        <v>15524.444444444445</v>
      </c>
    </row>
    <row r="259" spans="1:32" ht="12" customHeight="1" x14ac:dyDescent="0.3">
      <c r="A259" s="95"/>
      <c r="B259" s="107">
        <v>7</v>
      </c>
      <c r="C259" s="108" t="s">
        <v>111</v>
      </c>
      <c r="D259" s="109" t="s">
        <v>112</v>
      </c>
      <c r="E259" s="116">
        <v>0.05</v>
      </c>
      <c r="F259" s="111"/>
      <c r="G259" s="112">
        <f>+G258*E259</f>
        <v>776.22222222222229</v>
      </c>
      <c r="J259" s="93">
        <f>G259</f>
        <v>776.22222222222229</v>
      </c>
      <c r="K259" s="84">
        <v>5.9</v>
      </c>
      <c r="M259" s="59">
        <f>K259*J259</f>
        <v>4579.7111111111117</v>
      </c>
      <c r="N259" s="59"/>
      <c r="O259" s="59"/>
      <c r="P259" s="59"/>
      <c r="Q259" s="59"/>
      <c r="R259" s="59"/>
      <c r="AB259" s="59">
        <f>G259</f>
        <v>776.22222222222229</v>
      </c>
    </row>
    <row r="260" spans="1:32" ht="12" customHeight="1" x14ac:dyDescent="0.3">
      <c r="A260" s="95"/>
      <c r="B260" s="107">
        <v>8</v>
      </c>
      <c r="C260" s="108" t="s">
        <v>113</v>
      </c>
      <c r="D260" s="109" t="s">
        <v>114</v>
      </c>
      <c r="E260" s="116">
        <v>0.03</v>
      </c>
      <c r="F260" s="111"/>
      <c r="G260" s="112">
        <f>G258*E260</f>
        <v>465.73333333333335</v>
      </c>
      <c r="J260" s="93">
        <f>G260</f>
        <v>465.73333333333335</v>
      </c>
      <c r="K260" s="84">
        <v>5.9</v>
      </c>
      <c r="M260" s="59"/>
      <c r="N260" s="59">
        <f>K260*J260</f>
        <v>2747.8266666666668</v>
      </c>
      <c r="O260" s="59"/>
      <c r="P260" s="59"/>
      <c r="Q260" s="59"/>
      <c r="R260" s="59"/>
      <c r="AC260" s="59">
        <f>G260</f>
        <v>465.73333333333335</v>
      </c>
    </row>
    <row r="261" spans="1:32" ht="12" customHeight="1" x14ac:dyDescent="0.3">
      <c r="A261" s="95"/>
      <c r="B261" s="107">
        <v>9</v>
      </c>
      <c r="C261" s="108" t="s">
        <v>75</v>
      </c>
      <c r="D261" s="109" t="s">
        <v>115</v>
      </c>
      <c r="E261" s="116">
        <v>0.2</v>
      </c>
      <c r="F261" s="111"/>
      <c r="G261" s="112">
        <f>G258*E261</f>
        <v>3104.8888888888891</v>
      </c>
      <c r="J261" s="93">
        <f>G261</f>
        <v>3104.8888888888891</v>
      </c>
      <c r="K261" s="84">
        <v>5.9</v>
      </c>
      <c r="M261" s="59"/>
      <c r="N261" s="59"/>
      <c r="O261" s="59">
        <f>K261*J261</f>
        <v>18318.844444444447</v>
      </c>
      <c r="P261" s="59"/>
      <c r="Q261" s="59"/>
      <c r="R261" s="59"/>
      <c r="W261" s="59">
        <f>G261+G260+G259+G257</f>
        <v>6010.1777777777779</v>
      </c>
      <c r="X261" s="58">
        <v>5.9</v>
      </c>
      <c r="Y261" s="59">
        <f>X261*W261</f>
        <v>35460.048888888894</v>
      </c>
      <c r="AD261" s="59">
        <f>G261</f>
        <v>3104.8888888888891</v>
      </c>
    </row>
    <row r="262" spans="1:32" ht="12" customHeight="1" x14ac:dyDescent="0.3">
      <c r="A262" s="95"/>
      <c r="B262" s="107">
        <v>10</v>
      </c>
      <c r="C262" s="113" t="s">
        <v>76</v>
      </c>
      <c r="D262" s="109" t="s">
        <v>116</v>
      </c>
      <c r="E262" s="116"/>
      <c r="F262" s="111"/>
      <c r="G262" s="114">
        <f>G261+G260+G259+G258</f>
        <v>19871.288888888892</v>
      </c>
    </row>
    <row r="263" spans="1:32" ht="12" customHeight="1" x14ac:dyDescent="0.3">
      <c r="A263" s="95"/>
      <c r="B263" s="107">
        <v>11</v>
      </c>
      <c r="C263" s="113" t="s">
        <v>117</v>
      </c>
      <c r="D263" s="109" t="s">
        <v>118</v>
      </c>
      <c r="E263" s="116"/>
      <c r="F263" s="111"/>
      <c r="G263" s="112">
        <f>G262-G254</f>
        <v>13871.288888888892</v>
      </c>
    </row>
    <row r="264" spans="1:32" ht="12" customHeight="1" x14ac:dyDescent="0.3">
      <c r="A264" s="95"/>
      <c r="B264" s="107">
        <v>12</v>
      </c>
      <c r="C264" s="108" t="s">
        <v>119</v>
      </c>
      <c r="D264" s="109" t="s">
        <v>77</v>
      </c>
      <c r="E264" s="116">
        <v>0.03</v>
      </c>
      <c r="F264" s="111"/>
      <c r="G264" s="112">
        <f>G262*E264</f>
        <v>596.13866666666672</v>
      </c>
      <c r="J264" s="93">
        <f>G264</f>
        <v>596.13866666666672</v>
      </c>
      <c r="K264" s="84">
        <v>5.9</v>
      </c>
      <c r="M264" s="59"/>
      <c r="N264" s="59"/>
      <c r="O264" s="59"/>
      <c r="P264" s="59">
        <f>K264*J264</f>
        <v>3517.2181333333338</v>
      </c>
      <c r="Q264" s="59"/>
      <c r="R264" s="59"/>
      <c r="T264" s="59"/>
      <c r="U264" s="59"/>
      <c r="V264" s="59"/>
      <c r="W264" s="59"/>
      <c r="X264" s="59"/>
      <c r="Y264" s="59"/>
      <c r="AE264" s="59">
        <f>G264</f>
        <v>596.13866666666672</v>
      </c>
    </row>
    <row r="265" spans="1:32" ht="12" customHeight="1" thickBot="1" x14ac:dyDescent="0.35">
      <c r="A265" s="95"/>
      <c r="B265" s="117">
        <v>13</v>
      </c>
      <c r="C265" s="88" t="s">
        <v>78</v>
      </c>
      <c r="D265" s="89"/>
      <c r="E265" s="118">
        <v>0.35</v>
      </c>
      <c r="F265" s="91"/>
      <c r="G265" s="119">
        <f>G261*E265</f>
        <v>1086.7111111111112</v>
      </c>
      <c r="J265" s="93">
        <f>G265</f>
        <v>1086.7111111111112</v>
      </c>
      <c r="K265" s="84">
        <v>5.9</v>
      </c>
      <c r="M265" s="59"/>
      <c r="N265" s="59"/>
      <c r="O265" s="59"/>
      <c r="P265" s="59"/>
      <c r="Q265" s="59">
        <f>K265*J265</f>
        <v>6411.5955555555565</v>
      </c>
      <c r="R265" s="59"/>
      <c r="Z265" s="59"/>
      <c r="AF265" s="59">
        <f>G265</f>
        <v>1086.7111111111112</v>
      </c>
    </row>
    <row r="266" spans="1:32" ht="8.25" customHeight="1" thickBot="1" x14ac:dyDescent="0.35">
      <c r="A266" s="95"/>
      <c r="B266" s="120"/>
      <c r="C266" s="121"/>
      <c r="D266" s="120"/>
      <c r="E266" s="122"/>
      <c r="F266" s="123"/>
      <c r="G266" s="123"/>
      <c r="Z266" s="59"/>
    </row>
    <row r="267" spans="1:32" ht="15" customHeight="1" x14ac:dyDescent="0.3">
      <c r="A267" s="95"/>
      <c r="B267" s="101">
        <v>14</v>
      </c>
      <c r="C267" s="102" t="s">
        <v>120</v>
      </c>
      <c r="D267" s="103" t="s">
        <v>121</v>
      </c>
      <c r="E267" s="104"/>
      <c r="F267" s="105"/>
      <c r="G267" s="124">
        <f>G262+G264+G265</f>
        <v>21554.138666666669</v>
      </c>
    </row>
    <row r="268" spans="1:32" ht="15" customHeight="1" x14ac:dyDescent="0.3">
      <c r="A268" s="95"/>
      <c r="B268" s="107">
        <v>15</v>
      </c>
      <c r="C268" s="108" t="s">
        <v>122</v>
      </c>
      <c r="D268" s="109" t="s">
        <v>123</v>
      </c>
      <c r="E268" s="110"/>
      <c r="F268" s="111"/>
      <c r="G268" s="114">
        <f>(G262+G264+G265)*1.21</f>
        <v>26080.507786666669</v>
      </c>
    </row>
    <row r="269" spans="1:32" ht="15" customHeight="1" x14ac:dyDescent="0.3">
      <c r="A269" s="95"/>
      <c r="B269" s="107">
        <v>16</v>
      </c>
      <c r="C269" s="108" t="s">
        <v>124</v>
      </c>
      <c r="D269" s="109" t="s">
        <v>121</v>
      </c>
      <c r="E269" s="110"/>
      <c r="F269" s="111"/>
      <c r="G269" s="126">
        <f>G263+G264+G265</f>
        <v>15554.138666666669</v>
      </c>
      <c r="I269" s="93">
        <f>G269/1325</f>
        <v>11.738972578616353</v>
      </c>
    </row>
    <row r="270" spans="1:32" ht="15" customHeight="1" thickBot="1" x14ac:dyDescent="0.35">
      <c r="A270" s="95"/>
      <c r="B270" s="117">
        <v>17</v>
      </c>
      <c r="C270" s="88" t="s">
        <v>125</v>
      </c>
      <c r="D270" s="89" t="s">
        <v>123</v>
      </c>
      <c r="E270" s="90"/>
      <c r="F270" s="91"/>
      <c r="G270" s="127">
        <f>(G263+G264+G265)*1.21</f>
        <v>18820.507786666669</v>
      </c>
    </row>
    <row r="287" spans="6:10" x14ac:dyDescent="0.3">
      <c r="F287" s="57" t="s">
        <v>177</v>
      </c>
      <c r="G287" s="167">
        <f>G143*85</f>
        <v>1721939.7292586665</v>
      </c>
      <c r="I287" s="93">
        <f>G128*85</f>
        <v>1081574</v>
      </c>
      <c r="J287" s="56" t="s">
        <v>181</v>
      </c>
    </row>
    <row r="288" spans="6:10" x14ac:dyDescent="0.3">
      <c r="F288" s="57" t="s">
        <v>178</v>
      </c>
      <c r="G288" s="167">
        <f>14500*35</f>
        <v>507500</v>
      </c>
      <c r="I288" s="93">
        <f>21000*7</f>
        <v>147000</v>
      </c>
      <c r="J288" s="56" t="s">
        <v>180</v>
      </c>
    </row>
    <row r="289" spans="5:32" x14ac:dyDescent="0.3">
      <c r="F289" s="57" t="s">
        <v>179</v>
      </c>
      <c r="G289" s="167">
        <f>(8500+7000)*2*4</f>
        <v>124000</v>
      </c>
      <c r="I289" s="93">
        <f>220000</f>
        <v>220000</v>
      </c>
      <c r="J289" s="56" t="s">
        <v>27</v>
      </c>
    </row>
    <row r="293" spans="5:32" x14ac:dyDescent="0.3">
      <c r="G293" s="167">
        <f>SUM(G287:G292)</f>
        <v>2353439.7292586667</v>
      </c>
      <c r="I293" s="93">
        <f>SUM(I287:I292)</f>
        <v>1448574</v>
      </c>
    </row>
    <row r="299" spans="5:32" s="61" customFormat="1" ht="16.5" customHeight="1" x14ac:dyDescent="0.3">
      <c r="L299" s="65"/>
      <c r="M299" s="65"/>
      <c r="N299" s="65"/>
      <c r="O299" s="65"/>
      <c r="P299" s="65"/>
      <c r="Q299" s="65"/>
      <c r="R299" s="65"/>
      <c r="S299" s="66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</row>
    <row r="300" spans="5:32" ht="12" customHeight="1" x14ac:dyDescent="0.3">
      <c r="E300" s="56"/>
      <c r="F300" s="56"/>
      <c r="G300" s="56"/>
    </row>
    <row r="301" spans="5:32" ht="12" customHeight="1" x14ac:dyDescent="0.3">
      <c r="E301" s="56"/>
      <c r="F301" s="56"/>
      <c r="G301" s="56"/>
    </row>
    <row r="302" spans="5:32" ht="12" customHeight="1" x14ac:dyDescent="0.3">
      <c r="E302" s="56"/>
      <c r="F302" s="56"/>
      <c r="G302" s="56"/>
    </row>
    <row r="303" spans="5:32" ht="12" customHeight="1" x14ac:dyDescent="0.3">
      <c r="E303" s="56"/>
      <c r="F303" s="56"/>
      <c r="G303" s="56"/>
    </row>
    <row r="304" spans="5:32" ht="12" customHeight="1" x14ac:dyDescent="0.3">
      <c r="E304" s="56"/>
      <c r="F304" s="56"/>
      <c r="G304" s="56"/>
      <c r="I304" s="56">
        <v>110</v>
      </c>
    </row>
    <row r="305" spans="5:26" ht="12" customHeight="1" x14ac:dyDescent="0.3">
      <c r="E305" s="56"/>
      <c r="F305" s="56"/>
      <c r="G305" s="56"/>
      <c r="I305" s="93"/>
      <c r="K305" s="94">
        <f>K326</f>
        <v>5.9</v>
      </c>
      <c r="T305" s="59">
        <f>Hoja6!G47</f>
        <v>98017.422222222231</v>
      </c>
      <c r="U305" s="84">
        <v>5.9</v>
      </c>
      <c r="V305" s="59">
        <f>U305*T305</f>
        <v>578302.79111111118</v>
      </c>
      <c r="W305" s="59"/>
      <c r="X305" s="59"/>
      <c r="Y305" s="59"/>
    </row>
    <row r="306" spans="5:26" ht="12" customHeight="1" x14ac:dyDescent="0.3">
      <c r="E306" s="56"/>
      <c r="F306" s="56"/>
      <c r="G306" s="56"/>
      <c r="I306" s="56">
        <f>Hoja6!E48*J306/50</f>
        <v>0</v>
      </c>
      <c r="J306" s="56">
        <v>110</v>
      </c>
    </row>
    <row r="307" spans="5:26" ht="12" customHeight="1" x14ac:dyDescent="0.3">
      <c r="E307" s="56"/>
      <c r="F307" s="56"/>
      <c r="G307" s="56"/>
      <c r="I307" s="56">
        <f>Hoja6!E49*J307</f>
        <v>0</v>
      </c>
      <c r="J307" s="56">
        <v>110</v>
      </c>
    </row>
    <row r="308" spans="5:26" ht="12" customHeight="1" x14ac:dyDescent="0.3">
      <c r="E308" s="56"/>
      <c r="F308" s="56"/>
      <c r="G308" s="56"/>
      <c r="I308" s="56">
        <f>Hoja6!E50*J308</f>
        <v>0</v>
      </c>
      <c r="J308" s="56">
        <v>110</v>
      </c>
    </row>
    <row r="309" spans="5:26" ht="12" customHeight="1" x14ac:dyDescent="0.3">
      <c r="E309" s="56"/>
      <c r="F309" s="56"/>
      <c r="G309" s="56"/>
      <c r="I309" s="56">
        <f>Hoja6!E51*J309</f>
        <v>0</v>
      </c>
      <c r="J309" s="56">
        <v>110</v>
      </c>
    </row>
    <row r="310" spans="5:26" ht="12" customHeight="1" x14ac:dyDescent="0.3">
      <c r="E310" s="56"/>
      <c r="F310" s="56"/>
      <c r="G310" s="56"/>
      <c r="R310" s="59">
        <f>(Hoja6!G52+Hoja6!G51+Hoja6!G50+Hoja6!G49)*K305</f>
        <v>0</v>
      </c>
    </row>
    <row r="311" spans="5:26" ht="12" customHeight="1" x14ac:dyDescent="0.3">
      <c r="E311" s="56"/>
      <c r="F311" s="56"/>
      <c r="G311" s="56"/>
    </row>
    <row r="312" spans="5:26" ht="12" customHeight="1" x14ac:dyDescent="0.3">
      <c r="E312" s="56"/>
      <c r="F312" s="56"/>
      <c r="G312" s="56"/>
    </row>
    <row r="313" spans="5:26" ht="12" customHeight="1" x14ac:dyDescent="0.3">
      <c r="E313" s="56"/>
      <c r="F313" s="56"/>
      <c r="G313" s="56"/>
    </row>
    <row r="314" spans="5:26" ht="12" customHeight="1" x14ac:dyDescent="0.3">
      <c r="E314" s="56"/>
      <c r="F314" s="56"/>
      <c r="G314" s="56"/>
    </row>
    <row r="315" spans="5:26" ht="12" customHeight="1" x14ac:dyDescent="0.3">
      <c r="E315" s="56"/>
      <c r="F315" s="56"/>
      <c r="G315" s="56"/>
    </row>
    <row r="316" spans="5:26" ht="12" customHeight="1" x14ac:dyDescent="0.3">
      <c r="E316" s="56"/>
      <c r="F316" s="56"/>
      <c r="G316" s="56"/>
    </row>
    <row r="317" spans="5:26" ht="12" customHeight="1" x14ac:dyDescent="0.3">
      <c r="E317" s="56"/>
      <c r="F317" s="56"/>
      <c r="G317" s="56"/>
    </row>
    <row r="318" spans="5:26" ht="12" customHeight="1" x14ac:dyDescent="0.3">
      <c r="E318" s="56"/>
      <c r="F318" s="56"/>
      <c r="G318" s="56"/>
    </row>
    <row r="319" spans="5:26" ht="12" customHeight="1" x14ac:dyDescent="0.3">
      <c r="E319" s="56"/>
      <c r="F319" s="56"/>
      <c r="G319" s="56"/>
    </row>
    <row r="320" spans="5:26" ht="12" customHeight="1" x14ac:dyDescent="0.3">
      <c r="E320" s="56"/>
      <c r="F320" s="56"/>
      <c r="G320" s="56"/>
      <c r="Z320" s="59">
        <f>Hoja6!G62</f>
        <v>0</v>
      </c>
    </row>
    <row r="321" spans="5:32" ht="9" customHeight="1" x14ac:dyDescent="0.3">
      <c r="E321" s="56"/>
      <c r="F321" s="56"/>
      <c r="G321" s="56"/>
    </row>
    <row r="322" spans="5:32" ht="12" customHeight="1" x14ac:dyDescent="0.3">
      <c r="E322" s="56"/>
      <c r="F322" s="56"/>
      <c r="G322" s="56"/>
    </row>
    <row r="323" spans="5:32" ht="12" customHeight="1" x14ac:dyDescent="0.3">
      <c r="E323" s="56"/>
      <c r="F323" s="56"/>
      <c r="G323" s="56"/>
    </row>
    <row r="324" spans="5:32" ht="12" customHeight="1" x14ac:dyDescent="0.3">
      <c r="E324" s="56"/>
      <c r="F324" s="56"/>
      <c r="G324" s="56"/>
    </row>
    <row r="325" spans="5:32" ht="12" customHeight="1" x14ac:dyDescent="0.3">
      <c r="E325" s="56"/>
      <c r="F325" s="56"/>
      <c r="G325" s="56"/>
      <c r="H325" s="93"/>
      <c r="I325" s="93"/>
      <c r="J325" s="93"/>
      <c r="K325" s="93"/>
      <c r="L325" s="59"/>
      <c r="M325" s="59"/>
      <c r="N325" s="59"/>
      <c r="O325" s="59"/>
      <c r="P325" s="59"/>
      <c r="Q325" s="59"/>
      <c r="R325" s="59"/>
      <c r="S325" s="115"/>
    </row>
    <row r="326" spans="5:32" ht="12" customHeight="1" x14ac:dyDescent="0.3">
      <c r="E326" s="56"/>
      <c r="F326" s="56"/>
      <c r="G326" s="56"/>
      <c r="J326" s="93">
        <f>Hoja6!G68</f>
        <v>24504.355555555558</v>
      </c>
      <c r="K326" s="84">
        <v>5.9</v>
      </c>
      <c r="L326" s="59">
        <f>K326*J326</f>
        <v>144575.69777777779</v>
      </c>
      <c r="M326" s="59"/>
      <c r="N326" s="59"/>
      <c r="O326" s="59"/>
      <c r="P326" s="59"/>
      <c r="Q326" s="59"/>
      <c r="R326" s="59"/>
      <c r="AA326" s="59">
        <f>Hoja6!G68</f>
        <v>24504.355555555558</v>
      </c>
    </row>
    <row r="327" spans="5:32" ht="12" customHeight="1" x14ac:dyDescent="0.3">
      <c r="E327" s="56"/>
      <c r="F327" s="56"/>
      <c r="G327" s="56"/>
    </row>
    <row r="328" spans="5:32" ht="12" customHeight="1" x14ac:dyDescent="0.3">
      <c r="E328" s="56"/>
      <c r="F328" s="56"/>
      <c r="G328" s="56"/>
      <c r="J328" s="93">
        <f>Hoja6!G70</f>
        <v>8576.5244444444452</v>
      </c>
      <c r="K328" s="84">
        <v>5.9</v>
      </c>
      <c r="M328" s="59">
        <f>K328*J328</f>
        <v>50601.494222222231</v>
      </c>
      <c r="N328" s="59"/>
      <c r="O328" s="59"/>
      <c r="P328" s="59"/>
      <c r="Q328" s="59"/>
      <c r="R328" s="59"/>
      <c r="AB328" s="59">
        <f>Hoja6!G70</f>
        <v>8576.5244444444452</v>
      </c>
    </row>
    <row r="329" spans="5:32" ht="12" customHeight="1" x14ac:dyDescent="0.3">
      <c r="E329" s="56"/>
      <c r="F329" s="56"/>
      <c r="G329" s="56"/>
      <c r="J329" s="93">
        <f>Hoja6!G71</f>
        <v>6126.0888888888894</v>
      </c>
      <c r="K329" s="84">
        <v>5.9</v>
      </c>
      <c r="M329" s="59"/>
      <c r="N329" s="59">
        <f>K329*J329</f>
        <v>36143.924444444448</v>
      </c>
      <c r="O329" s="59"/>
      <c r="P329" s="59"/>
      <c r="Q329" s="59"/>
      <c r="R329" s="59"/>
      <c r="AC329" s="59">
        <f>Hoja6!G71</f>
        <v>6126.0888888888894</v>
      </c>
    </row>
    <row r="330" spans="5:32" ht="12" customHeight="1" x14ac:dyDescent="0.3">
      <c r="E330" s="56"/>
      <c r="F330" s="56"/>
      <c r="G330" s="56"/>
      <c r="J330" s="93">
        <f>Hoja6!G72</f>
        <v>24504.355555555558</v>
      </c>
      <c r="K330" s="84">
        <v>5.9</v>
      </c>
      <c r="M330" s="59"/>
      <c r="N330" s="59"/>
      <c r="O330" s="59">
        <f>K330*J330</f>
        <v>144575.69777777779</v>
      </c>
      <c r="P330" s="59"/>
      <c r="Q330" s="59"/>
      <c r="R330" s="59"/>
      <c r="W330" s="59">
        <f>Hoja6!G72+Hoja6!G71+Hoja6!G70+Hoja6!G68</f>
        <v>63711.32444444445</v>
      </c>
      <c r="X330" s="58">
        <v>5.9</v>
      </c>
      <c r="Y330" s="59">
        <f>X330*W330</f>
        <v>375896.81422222225</v>
      </c>
      <c r="AD330" s="59">
        <f>Hoja6!G72</f>
        <v>24504.355555555558</v>
      </c>
    </row>
    <row r="331" spans="5:32" ht="12" customHeight="1" x14ac:dyDescent="0.3">
      <c r="E331" s="56"/>
      <c r="F331" s="56"/>
      <c r="G331" s="56"/>
    </row>
    <row r="332" spans="5:32" ht="12" customHeight="1" x14ac:dyDescent="0.3">
      <c r="E332" s="56"/>
      <c r="F332" s="56"/>
      <c r="G332" s="56"/>
    </row>
    <row r="333" spans="5:32" ht="12" customHeight="1" x14ac:dyDescent="0.3">
      <c r="E333" s="56"/>
      <c r="F333" s="56"/>
      <c r="G333" s="56"/>
      <c r="J333" s="93">
        <f>Hoja6!G75</f>
        <v>16172.874666666668</v>
      </c>
      <c r="K333" s="84">
        <v>5.9</v>
      </c>
      <c r="M333" s="59"/>
      <c r="N333" s="59"/>
      <c r="O333" s="59"/>
      <c r="P333" s="59">
        <f>K333*J333</f>
        <v>95419.960533333346</v>
      </c>
      <c r="Q333" s="59"/>
      <c r="R333" s="59"/>
      <c r="T333" s="59"/>
      <c r="U333" s="59"/>
      <c r="V333" s="59"/>
      <c r="W333" s="59"/>
      <c r="X333" s="59"/>
      <c r="Y333" s="59"/>
      <c r="AE333" s="59">
        <f>Hoja6!G75</f>
        <v>16172.874666666668</v>
      </c>
    </row>
    <row r="334" spans="5:32" ht="12" customHeight="1" x14ac:dyDescent="0.3">
      <c r="E334" s="56"/>
      <c r="F334" s="56"/>
      <c r="G334" s="56"/>
      <c r="J334" s="93">
        <f>Hoja6!G76</f>
        <v>0</v>
      </c>
      <c r="K334" s="84">
        <v>5.9</v>
      </c>
      <c r="M334" s="59"/>
      <c r="N334" s="59"/>
      <c r="O334" s="59"/>
      <c r="P334" s="59"/>
      <c r="Q334" s="59">
        <f>K334*J334</f>
        <v>0</v>
      </c>
      <c r="R334" s="59"/>
      <c r="Z334" s="59"/>
      <c r="AF334" s="59">
        <f>Hoja6!G76</f>
        <v>0</v>
      </c>
    </row>
    <row r="335" spans="5:32" ht="8.25" customHeight="1" x14ac:dyDescent="0.3">
      <c r="E335" s="56"/>
      <c r="F335" s="56"/>
      <c r="G335" s="56"/>
      <c r="Z335" s="59"/>
    </row>
    <row r="336" spans="5:32" ht="15" customHeight="1" x14ac:dyDescent="0.3">
      <c r="E336" s="56"/>
      <c r="F336" s="56"/>
      <c r="G336" s="56"/>
    </row>
    <row r="337" spans="5:9" ht="15" customHeight="1" x14ac:dyDescent="0.3">
      <c r="E337" s="56"/>
      <c r="F337" s="56"/>
      <c r="G337" s="56"/>
    </row>
    <row r="338" spans="5:9" ht="15" customHeight="1" x14ac:dyDescent="0.3">
      <c r="E338" s="56"/>
      <c r="F338" s="56"/>
      <c r="G338" s="56"/>
      <c r="I338" s="93">
        <f>Hoja6!G78*0.6</f>
        <v>106740.9728</v>
      </c>
    </row>
    <row r="339" spans="5:9" ht="15" customHeight="1" x14ac:dyDescent="0.3">
      <c r="E339" s="56"/>
      <c r="F339" s="56"/>
      <c r="G339" s="56"/>
    </row>
    <row r="380" spans="1:7" customFormat="1" ht="15.75" customHeight="1" x14ac:dyDescent="0.3">
      <c r="A380" s="160"/>
      <c r="B380" s="217"/>
      <c r="C380" s="218"/>
      <c r="D380" s="219"/>
      <c r="E380" s="219"/>
      <c r="F380" s="220"/>
      <c r="G380" s="227"/>
    </row>
    <row r="381" spans="1:7" s="192" customFormat="1" ht="28.5" customHeight="1" x14ac:dyDescent="0.3">
      <c r="A381" s="153" t="s">
        <v>241</v>
      </c>
      <c r="B381" s="153" t="s">
        <v>55</v>
      </c>
      <c r="C381" s="153" t="s">
        <v>242</v>
      </c>
      <c r="D381" s="154" t="s">
        <v>228</v>
      </c>
      <c r="E381" s="193"/>
      <c r="F381" s="194"/>
      <c r="G381" s="194"/>
    </row>
    <row r="382" spans="1:7" customFormat="1" ht="15.75" customHeight="1" x14ac:dyDescent="0.3">
      <c r="A382" s="155"/>
      <c r="B382" s="155" t="s">
        <v>56</v>
      </c>
      <c r="C382" s="52" t="s">
        <v>57</v>
      </c>
      <c r="D382" s="53" t="s">
        <v>166</v>
      </c>
      <c r="E382" s="54">
        <v>4</v>
      </c>
      <c r="F382" s="55" t="e">
        <f>#REF!</f>
        <v>#REF!</v>
      </c>
      <c r="G382" s="156" t="e">
        <f>E382*F382</f>
        <v>#REF!</v>
      </c>
    </row>
    <row r="383" spans="1:7" customFormat="1" ht="14.4" x14ac:dyDescent="0.3">
      <c r="A383" s="155"/>
      <c r="B383" s="155" t="s">
        <v>56</v>
      </c>
      <c r="C383" s="52" t="s">
        <v>167</v>
      </c>
      <c r="D383" s="53" t="s">
        <v>166</v>
      </c>
      <c r="E383" s="54">
        <v>0</v>
      </c>
      <c r="F383" s="55" t="e">
        <f>#REF!</f>
        <v>#REF!</v>
      </c>
      <c r="G383" s="156" t="e">
        <f>E383*F383</f>
        <v>#REF!</v>
      </c>
    </row>
    <row r="384" spans="1:7" customFormat="1" ht="14.4" x14ac:dyDescent="0.3">
      <c r="A384" s="155"/>
      <c r="B384" s="155" t="s">
        <v>56</v>
      </c>
      <c r="C384" s="52" t="s">
        <v>168</v>
      </c>
      <c r="D384" s="53" t="s">
        <v>166</v>
      </c>
      <c r="E384" s="54"/>
      <c r="F384" s="55" t="e">
        <f>#REF!</f>
        <v>#REF!</v>
      </c>
      <c r="G384" s="156" t="e">
        <f>E384*F384</f>
        <v>#REF!</v>
      </c>
    </row>
    <row r="385" spans="1:9" customFormat="1" ht="14.4" x14ac:dyDescent="0.3">
      <c r="A385" s="155"/>
      <c r="B385" s="157" t="s">
        <v>169</v>
      </c>
      <c r="C385" s="108"/>
      <c r="D385" s="109"/>
      <c r="E385" s="109"/>
      <c r="F385" s="158"/>
      <c r="G385" s="159" t="e">
        <f>SUM(G382:G384)</f>
        <v>#REF!</v>
      </c>
    </row>
    <row r="386" spans="1:9" customFormat="1" ht="14.4" x14ac:dyDescent="0.3">
      <c r="A386" s="155"/>
      <c r="B386" s="155" t="s">
        <v>58</v>
      </c>
      <c r="C386" s="52" t="s">
        <v>229</v>
      </c>
      <c r="D386" s="53" t="s">
        <v>26</v>
      </c>
      <c r="E386" s="54"/>
      <c r="F386" s="55"/>
      <c r="G386" s="156">
        <f>E386*F386</f>
        <v>0</v>
      </c>
    </row>
    <row r="387" spans="1:9" customFormat="1" ht="14.4" x14ac:dyDescent="0.3">
      <c r="A387" s="155"/>
      <c r="B387" s="155" t="s">
        <v>58</v>
      </c>
      <c r="C387" s="52" t="s">
        <v>230</v>
      </c>
      <c r="D387" s="53" t="s">
        <v>26</v>
      </c>
      <c r="E387" s="54"/>
      <c r="F387" s="55"/>
      <c r="G387" s="156">
        <f>E387*F387</f>
        <v>0</v>
      </c>
    </row>
    <row r="388" spans="1:9" customFormat="1" ht="14.4" x14ac:dyDescent="0.3">
      <c r="A388" s="155"/>
      <c r="B388" s="155" t="s">
        <v>58</v>
      </c>
      <c r="C388" s="52" t="s">
        <v>231</v>
      </c>
      <c r="D388" s="53" t="s">
        <v>60</v>
      </c>
      <c r="E388" s="54"/>
      <c r="F388" s="55"/>
      <c r="G388" s="156">
        <f>E388*F388</f>
        <v>0</v>
      </c>
    </row>
    <row r="389" spans="1:9" customFormat="1" ht="14.4" x14ac:dyDescent="0.3">
      <c r="A389" s="160"/>
      <c r="B389" s="157" t="s">
        <v>175</v>
      </c>
      <c r="C389" s="161"/>
      <c r="D389" s="109"/>
      <c r="E389" s="109"/>
      <c r="F389" s="162"/>
      <c r="G389" s="163">
        <f>SUM(G386:G388)</f>
        <v>0</v>
      </c>
    </row>
    <row r="390" spans="1:9" customFormat="1" ht="14.4" x14ac:dyDescent="0.3">
      <c r="A390" s="160"/>
      <c r="B390" s="160"/>
      <c r="C390" s="164"/>
      <c r="D390" s="165"/>
      <c r="E390" s="166"/>
      <c r="F390" s="163"/>
      <c r="G390" s="163"/>
    </row>
    <row r="391" spans="1:9" customFormat="1" ht="14.4" x14ac:dyDescent="0.3">
      <c r="A391" s="160"/>
      <c r="B391" s="195">
        <v>1</v>
      </c>
      <c r="C391" s="196" t="s">
        <v>66</v>
      </c>
      <c r="D391" s="197" t="s">
        <v>67</v>
      </c>
      <c r="E391" s="197"/>
      <c r="F391" s="198"/>
      <c r="G391" s="199">
        <f>G389</f>
        <v>0</v>
      </c>
    </row>
    <row r="392" spans="1:9" customFormat="1" ht="14.4" x14ac:dyDescent="0.3">
      <c r="A392" s="160"/>
      <c r="B392" s="200">
        <v>2</v>
      </c>
      <c r="C392" s="201" t="s">
        <v>68</v>
      </c>
      <c r="D392" s="200" t="s">
        <v>69</v>
      </c>
      <c r="E392" s="200"/>
      <c r="F392" s="202"/>
      <c r="G392" s="203" t="e">
        <f>G385</f>
        <v>#REF!</v>
      </c>
    </row>
    <row r="393" spans="1:9" customFormat="1" ht="15" thickBot="1" x14ac:dyDescent="0.35">
      <c r="A393" s="160"/>
      <c r="B393" s="200">
        <v>3</v>
      </c>
      <c r="C393" s="201" t="s">
        <v>70</v>
      </c>
      <c r="D393" s="200" t="s">
        <v>71</v>
      </c>
      <c r="E393" s="200"/>
      <c r="F393" s="202"/>
      <c r="G393" s="204">
        <v>0</v>
      </c>
    </row>
    <row r="394" spans="1:9" customFormat="1" ht="15" thickBot="1" x14ac:dyDescent="0.35">
      <c r="A394" s="160"/>
      <c r="B394" s="205">
        <v>4</v>
      </c>
      <c r="C394" s="206" t="s">
        <v>72</v>
      </c>
      <c r="D394" s="207" t="s">
        <v>73</v>
      </c>
      <c r="E394" s="207"/>
      <c r="F394" s="208"/>
      <c r="G394" s="209" t="e">
        <f>SUM(G391:G393)</f>
        <v>#REF!</v>
      </c>
      <c r="H394" s="210" t="e">
        <f>G394</f>
        <v>#REF!</v>
      </c>
    </row>
    <row r="395" spans="1:9" customFormat="1" ht="15" thickBot="1" x14ac:dyDescent="0.35">
      <c r="A395" s="160"/>
      <c r="B395" s="200">
        <v>5</v>
      </c>
      <c r="C395" s="201" t="s">
        <v>232</v>
      </c>
      <c r="D395" s="200" t="s">
        <v>233</v>
      </c>
      <c r="E395" s="211">
        <v>7.0000000000000007E-2</v>
      </c>
      <c r="F395" s="202"/>
      <c r="G395" s="204" t="e">
        <f>+G394*E395</f>
        <v>#REF!</v>
      </c>
    </row>
    <row r="396" spans="1:9" customFormat="1" ht="14.4" x14ac:dyDescent="0.3">
      <c r="A396" s="160"/>
      <c r="B396" s="212">
        <v>6</v>
      </c>
      <c r="C396" s="213" t="s">
        <v>234</v>
      </c>
      <c r="D396" s="200" t="s">
        <v>74</v>
      </c>
      <c r="E396" s="200"/>
      <c r="F396" s="202"/>
      <c r="G396" s="214" t="e">
        <f>+G395+G394</f>
        <v>#REF!</v>
      </c>
    </row>
    <row r="397" spans="1:9" customFormat="1" ht="14.4" x14ac:dyDescent="0.3">
      <c r="A397" s="160"/>
      <c r="B397" s="200">
        <v>7</v>
      </c>
      <c r="C397" s="201" t="s">
        <v>235</v>
      </c>
      <c r="D397" s="200" t="s">
        <v>236</v>
      </c>
      <c r="E397" s="211">
        <v>0.15</v>
      </c>
      <c r="F397" s="202"/>
      <c r="G397" s="203" t="e">
        <f>+G396*E397</f>
        <v>#REF!</v>
      </c>
    </row>
    <row r="398" spans="1:9" customFormat="1" ht="15" thickBot="1" x14ac:dyDescent="0.35">
      <c r="A398" s="160"/>
      <c r="B398" s="200">
        <v>8</v>
      </c>
      <c r="C398" s="201" t="s">
        <v>75</v>
      </c>
      <c r="D398" s="200" t="s">
        <v>237</v>
      </c>
      <c r="E398" s="211">
        <v>0.1</v>
      </c>
      <c r="F398" s="202"/>
      <c r="G398" s="204" t="e">
        <f>+G396*E398</f>
        <v>#REF!</v>
      </c>
    </row>
    <row r="399" spans="1:9" customFormat="1" ht="14.4" x14ac:dyDescent="0.3">
      <c r="A399" s="160"/>
      <c r="B399" s="212">
        <v>9</v>
      </c>
      <c r="C399" s="213" t="s">
        <v>76</v>
      </c>
      <c r="D399" s="200" t="s">
        <v>238</v>
      </c>
      <c r="E399" s="211"/>
      <c r="F399" s="202"/>
      <c r="G399" s="214" t="e">
        <f>SUM(G396:G398)-G391</f>
        <v>#REF!</v>
      </c>
    </row>
    <row r="400" spans="1:9" customFormat="1" ht="14.4" x14ac:dyDescent="0.3">
      <c r="A400" s="160"/>
      <c r="B400" s="200">
        <v>10</v>
      </c>
      <c r="C400" s="201" t="s">
        <v>119</v>
      </c>
      <c r="D400" s="200" t="s">
        <v>77</v>
      </c>
      <c r="E400" s="211">
        <v>0.03</v>
      </c>
      <c r="F400" s="202"/>
      <c r="G400" s="203" t="e">
        <f>(G392+G395+G397+G398)*E400</f>
        <v>#REF!</v>
      </c>
      <c r="I400" s="215" t="e">
        <f>G400</f>
        <v>#REF!</v>
      </c>
    </row>
    <row r="401" spans="1:10" customFormat="1" ht="15" thickBot="1" x14ac:dyDescent="0.35">
      <c r="A401" s="160"/>
      <c r="B401" s="200">
        <v>11</v>
      </c>
      <c r="C401" s="201" t="s">
        <v>78</v>
      </c>
      <c r="D401" s="200"/>
      <c r="E401" s="211">
        <v>0.35</v>
      </c>
      <c r="F401" s="202"/>
      <c r="G401" s="203" t="e">
        <f>E401*(G398)</f>
        <v>#REF!</v>
      </c>
      <c r="J401" s="216" t="e">
        <f>G401</f>
        <v>#REF!</v>
      </c>
    </row>
    <row r="402" spans="1:10" customFormat="1" ht="15" thickBot="1" x14ac:dyDescent="0.35">
      <c r="A402" s="160"/>
      <c r="B402" s="217">
        <v>12</v>
      </c>
      <c r="C402" s="218" t="s">
        <v>239</v>
      </c>
      <c r="D402" s="219" t="s">
        <v>240</v>
      </c>
      <c r="E402" s="219"/>
      <c r="F402" s="220"/>
      <c r="G402" s="221" t="e">
        <f>SUM(G399:G401)</f>
        <v>#REF!</v>
      </c>
    </row>
    <row r="403" spans="1:10" s="168" customFormat="1" ht="28.5" customHeight="1" x14ac:dyDescent="0.3">
      <c r="A403" s="188" t="s">
        <v>243</v>
      </c>
      <c r="B403" s="188" t="s">
        <v>226</v>
      </c>
      <c r="C403" s="188" t="s">
        <v>244</v>
      </c>
      <c r="D403" s="189" t="s">
        <v>227</v>
      </c>
      <c r="E403" s="190"/>
      <c r="F403" s="191"/>
      <c r="G403" s="191"/>
    </row>
    <row r="404" spans="1:10" s="192" customFormat="1" ht="28.5" customHeight="1" x14ac:dyDescent="0.3">
      <c r="A404" s="153" t="s">
        <v>128</v>
      </c>
      <c r="B404" s="153" t="s">
        <v>55</v>
      </c>
      <c r="C404" s="153" t="s">
        <v>245</v>
      </c>
      <c r="D404" s="154" t="s">
        <v>228</v>
      </c>
      <c r="E404" s="193"/>
      <c r="F404" s="194"/>
      <c r="G404" s="194"/>
    </row>
    <row r="405" spans="1:10" customFormat="1" ht="14.4" x14ac:dyDescent="0.3">
      <c r="A405" s="155"/>
      <c r="B405" s="155" t="s">
        <v>56</v>
      </c>
      <c r="C405" s="52" t="s">
        <v>57</v>
      </c>
      <c r="D405" s="53" t="s">
        <v>166</v>
      </c>
      <c r="E405" s="54">
        <f>11.3+4.2</f>
        <v>15.5</v>
      </c>
      <c r="F405" s="55" t="e">
        <f>F382</f>
        <v>#REF!</v>
      </c>
      <c r="G405" s="156" t="e">
        <f>E405*F405</f>
        <v>#REF!</v>
      </c>
    </row>
    <row r="406" spans="1:10" customFormat="1" ht="14.4" x14ac:dyDescent="0.3">
      <c r="A406" s="155"/>
      <c r="B406" s="155" t="s">
        <v>56</v>
      </c>
      <c r="C406" s="52" t="s">
        <v>167</v>
      </c>
      <c r="D406" s="53" t="s">
        <v>166</v>
      </c>
      <c r="E406" s="54">
        <f>6.15+1.45</f>
        <v>7.6000000000000005</v>
      </c>
      <c r="F406" s="55" t="e">
        <f>F383</f>
        <v>#REF!</v>
      </c>
      <c r="G406" s="156" t="e">
        <f>E406*F406</f>
        <v>#REF!</v>
      </c>
    </row>
    <row r="407" spans="1:10" customFormat="1" ht="14.4" x14ac:dyDescent="0.3">
      <c r="A407" s="155"/>
      <c r="B407" s="155" t="s">
        <v>56</v>
      </c>
      <c r="C407" s="52" t="s">
        <v>168</v>
      </c>
      <c r="D407" s="53" t="s">
        <v>166</v>
      </c>
      <c r="E407" s="54"/>
      <c r="F407" s="55" t="e">
        <f>F384</f>
        <v>#REF!</v>
      </c>
      <c r="G407" s="156" t="e">
        <f>E407*F407</f>
        <v>#REF!</v>
      </c>
    </row>
    <row r="408" spans="1:10" customFormat="1" ht="14.4" x14ac:dyDescent="0.3">
      <c r="A408" s="155"/>
      <c r="B408" s="157" t="s">
        <v>169</v>
      </c>
      <c r="C408" s="108"/>
      <c r="D408" s="109"/>
      <c r="E408" s="109"/>
      <c r="F408" s="158"/>
      <c r="G408" s="159" t="e">
        <f>SUM(G405:G407)</f>
        <v>#REF!</v>
      </c>
    </row>
    <row r="409" spans="1:10" customFormat="1" ht="14.4" x14ac:dyDescent="0.3">
      <c r="A409" s="155"/>
      <c r="B409" s="155" t="s">
        <v>58</v>
      </c>
      <c r="C409" s="52" t="s">
        <v>246</v>
      </c>
      <c r="D409" s="53" t="s">
        <v>247</v>
      </c>
      <c r="E409" s="54">
        <f>0.06*1.25</f>
        <v>7.4999999999999997E-2</v>
      </c>
      <c r="F409" s="55">
        <v>216000</v>
      </c>
      <c r="G409" s="156">
        <f t="shared" ref="G409:G416" si="11">E409*F409</f>
        <v>16200</v>
      </c>
    </row>
    <row r="410" spans="1:10" customFormat="1" ht="14.4" x14ac:dyDescent="0.3">
      <c r="A410" s="155"/>
      <c r="B410" s="155" t="s">
        <v>58</v>
      </c>
      <c r="C410" s="52" t="s">
        <v>248</v>
      </c>
      <c r="D410" s="53" t="s">
        <v>60</v>
      </c>
      <c r="E410" s="54">
        <v>0.25</v>
      </c>
      <c r="F410" s="55">
        <v>750</v>
      </c>
      <c r="G410" s="156">
        <f t="shared" si="11"/>
        <v>187.5</v>
      </c>
    </row>
    <row r="411" spans="1:10" customFormat="1" ht="14.4" x14ac:dyDescent="0.3">
      <c r="A411" s="155"/>
      <c r="B411" s="155" t="s">
        <v>58</v>
      </c>
      <c r="C411" s="52" t="s">
        <v>249</v>
      </c>
      <c r="D411" s="53" t="s">
        <v>24</v>
      </c>
      <c r="E411" s="54"/>
      <c r="F411" s="55"/>
      <c r="G411" s="156">
        <f t="shared" si="11"/>
        <v>0</v>
      </c>
    </row>
    <row r="412" spans="1:10" customFormat="1" ht="14.4" x14ac:dyDescent="0.3">
      <c r="A412" s="155"/>
      <c r="B412" s="155" t="s">
        <v>58</v>
      </c>
      <c r="C412" s="52" t="s">
        <v>250</v>
      </c>
      <c r="D412" s="53" t="s">
        <v>24</v>
      </c>
      <c r="E412" s="54"/>
      <c r="F412" s="55"/>
      <c r="G412" s="156">
        <f t="shared" si="11"/>
        <v>0</v>
      </c>
    </row>
    <row r="413" spans="1:10" customFormat="1" ht="14.4" x14ac:dyDescent="0.3">
      <c r="A413" s="155"/>
      <c r="B413" s="155" t="s">
        <v>58</v>
      </c>
      <c r="C413" s="52" t="s">
        <v>30</v>
      </c>
      <c r="D413" s="53" t="s">
        <v>60</v>
      </c>
      <c r="E413" s="54"/>
      <c r="F413" s="55">
        <v>750</v>
      </c>
      <c r="G413" s="156">
        <f t="shared" si="11"/>
        <v>0</v>
      </c>
    </row>
    <row r="414" spans="1:10" customFormat="1" ht="14.4" x14ac:dyDescent="0.3">
      <c r="A414" s="155"/>
      <c r="B414" s="155" t="s">
        <v>58</v>
      </c>
      <c r="C414" s="52" t="s">
        <v>251</v>
      </c>
      <c r="D414" s="53" t="s">
        <v>60</v>
      </c>
      <c r="E414" s="54">
        <v>300</v>
      </c>
      <c r="F414" s="55">
        <v>24</v>
      </c>
      <c r="G414" s="156">
        <f t="shared" si="11"/>
        <v>7200</v>
      </c>
    </row>
    <row r="415" spans="1:10" customFormat="1" ht="14.4" x14ac:dyDescent="0.3">
      <c r="A415" s="155"/>
      <c r="B415" s="155" t="s">
        <v>58</v>
      </c>
      <c r="C415" s="52" t="s">
        <v>252</v>
      </c>
      <c r="D415" s="53" t="s">
        <v>36</v>
      </c>
      <c r="E415" s="54">
        <v>0.65</v>
      </c>
      <c r="F415" s="55">
        <v>4000</v>
      </c>
      <c r="G415" s="156">
        <f t="shared" si="11"/>
        <v>2600</v>
      </c>
    </row>
    <row r="416" spans="1:10" customFormat="1" ht="14.4" x14ac:dyDescent="0.3">
      <c r="A416" s="155"/>
      <c r="B416" s="155" t="s">
        <v>58</v>
      </c>
      <c r="C416" s="52" t="s">
        <v>61</v>
      </c>
      <c r="D416" s="53" t="s">
        <v>36</v>
      </c>
      <c r="E416" s="54">
        <v>0.65</v>
      </c>
      <c r="F416" s="55">
        <v>3500</v>
      </c>
      <c r="G416" s="156">
        <f t="shared" si="11"/>
        <v>2275</v>
      </c>
    </row>
    <row r="417" spans="1:10" customFormat="1" ht="14.4" x14ac:dyDescent="0.3">
      <c r="A417" s="160"/>
      <c r="B417" s="157" t="s">
        <v>175</v>
      </c>
      <c r="C417" s="161"/>
      <c r="D417" s="109"/>
      <c r="E417" s="109"/>
      <c r="F417" s="162"/>
      <c r="G417" s="163">
        <f>SUM(G409:G416)</f>
        <v>28462.5</v>
      </c>
    </row>
    <row r="418" spans="1:10" customFormat="1" ht="14.4" x14ac:dyDescent="0.3">
      <c r="A418" s="160"/>
      <c r="B418" s="160"/>
      <c r="C418" s="164"/>
      <c r="D418" s="165"/>
      <c r="E418" s="166"/>
      <c r="F418" s="163"/>
      <c r="G418" s="163"/>
    </row>
    <row r="419" spans="1:10" customFormat="1" ht="14.4" x14ac:dyDescent="0.3">
      <c r="A419" s="160"/>
      <c r="B419" s="195">
        <v>1</v>
      </c>
      <c r="C419" s="196" t="s">
        <v>66</v>
      </c>
      <c r="D419" s="197" t="s">
        <v>67</v>
      </c>
      <c r="E419" s="197"/>
      <c r="F419" s="198"/>
      <c r="G419" s="199">
        <f>G417</f>
        <v>28462.5</v>
      </c>
    </row>
    <row r="420" spans="1:10" customFormat="1" ht="14.4" x14ac:dyDescent="0.3">
      <c r="A420" s="160"/>
      <c r="B420" s="200">
        <v>2</v>
      </c>
      <c r="C420" s="201" t="s">
        <v>68</v>
      </c>
      <c r="D420" s="200" t="s">
        <v>69</v>
      </c>
      <c r="E420" s="200"/>
      <c r="F420" s="202"/>
      <c r="G420" s="203" t="e">
        <f>G408</f>
        <v>#REF!</v>
      </c>
    </row>
    <row r="421" spans="1:10" customFormat="1" ht="15" thickBot="1" x14ac:dyDescent="0.35">
      <c r="A421" s="160"/>
      <c r="B421" s="200">
        <v>3</v>
      </c>
      <c r="C421" s="201" t="s">
        <v>70</v>
      </c>
      <c r="D421" s="200" t="s">
        <v>71</v>
      </c>
      <c r="E421" s="200"/>
      <c r="F421" s="202"/>
      <c r="G421" s="204">
        <v>0</v>
      </c>
      <c r="H421" s="222"/>
    </row>
    <row r="422" spans="1:10" customFormat="1" ht="15" thickBot="1" x14ac:dyDescent="0.35">
      <c r="A422" s="160"/>
      <c r="B422" s="205">
        <v>4</v>
      </c>
      <c r="C422" s="206" t="s">
        <v>72</v>
      </c>
      <c r="D422" s="207" t="s">
        <v>73</v>
      </c>
      <c r="E422" s="207"/>
      <c r="F422" s="208"/>
      <c r="G422" s="209" t="e">
        <f>SUM(G419:G421)</f>
        <v>#REF!</v>
      </c>
      <c r="H422" s="210" t="e">
        <f>G422</f>
        <v>#REF!</v>
      </c>
    </row>
    <row r="423" spans="1:10" customFormat="1" ht="15" thickBot="1" x14ac:dyDescent="0.35">
      <c r="A423" s="160"/>
      <c r="B423" s="200">
        <v>5</v>
      </c>
      <c r="C423" s="201" t="s">
        <v>232</v>
      </c>
      <c r="D423" s="200" t="s">
        <v>233</v>
      </c>
      <c r="E423" s="211">
        <v>7.0000000000000007E-2</v>
      </c>
      <c r="F423" s="202"/>
      <c r="G423" s="204" t="e">
        <f>+G422*E423</f>
        <v>#REF!</v>
      </c>
    </row>
    <row r="424" spans="1:10" customFormat="1" ht="14.4" x14ac:dyDescent="0.3">
      <c r="A424" s="160"/>
      <c r="B424" s="212">
        <v>6</v>
      </c>
      <c r="C424" s="213" t="s">
        <v>234</v>
      </c>
      <c r="D424" s="200" t="s">
        <v>74</v>
      </c>
      <c r="E424" s="200"/>
      <c r="F424" s="202"/>
      <c r="G424" s="214" t="e">
        <f>+G423+G422</f>
        <v>#REF!</v>
      </c>
    </row>
    <row r="425" spans="1:10" customFormat="1" ht="14.4" x14ac:dyDescent="0.3">
      <c r="A425" s="160"/>
      <c r="B425" s="200">
        <v>7</v>
      </c>
      <c r="C425" s="201" t="s">
        <v>235</v>
      </c>
      <c r="D425" s="200" t="s">
        <v>236</v>
      </c>
      <c r="E425" s="211">
        <v>0.15</v>
      </c>
      <c r="F425" s="202"/>
      <c r="G425" s="203" t="e">
        <f>+G424*E425</f>
        <v>#REF!</v>
      </c>
    </row>
    <row r="426" spans="1:10" customFormat="1" ht="15" thickBot="1" x14ac:dyDescent="0.35">
      <c r="A426" s="160"/>
      <c r="B426" s="200">
        <v>8</v>
      </c>
      <c r="C426" s="201" t="s">
        <v>75</v>
      </c>
      <c r="D426" s="200" t="s">
        <v>237</v>
      </c>
      <c r="E426" s="211">
        <v>0.1</v>
      </c>
      <c r="F426" s="202"/>
      <c r="G426" s="204" t="e">
        <f>+G424*E426</f>
        <v>#REF!</v>
      </c>
    </row>
    <row r="427" spans="1:10" customFormat="1" ht="14.4" x14ac:dyDescent="0.3">
      <c r="A427" s="160"/>
      <c r="B427" s="212">
        <v>9</v>
      </c>
      <c r="C427" s="213" t="s">
        <v>76</v>
      </c>
      <c r="D427" s="200" t="s">
        <v>238</v>
      </c>
      <c r="E427" s="211"/>
      <c r="F427" s="202"/>
      <c r="G427" s="214" t="e">
        <f>SUM(G424:G426)-G419</f>
        <v>#REF!</v>
      </c>
    </row>
    <row r="428" spans="1:10" customFormat="1" ht="14.4" x14ac:dyDescent="0.3">
      <c r="A428" s="160"/>
      <c r="B428" s="200">
        <v>10</v>
      </c>
      <c r="C428" s="201" t="s">
        <v>119</v>
      </c>
      <c r="D428" s="200" t="s">
        <v>77</v>
      </c>
      <c r="E428" s="211">
        <v>0.03</v>
      </c>
      <c r="F428" s="202"/>
      <c r="G428" s="203" t="e">
        <f>(G420+G423+G425+G426)*E428</f>
        <v>#REF!</v>
      </c>
      <c r="I428" s="215" t="e">
        <f>G428</f>
        <v>#REF!</v>
      </c>
    </row>
    <row r="429" spans="1:10" customFormat="1" ht="15" thickBot="1" x14ac:dyDescent="0.35">
      <c r="A429" s="160"/>
      <c r="B429" s="200">
        <v>11</v>
      </c>
      <c r="C429" s="201" t="s">
        <v>78</v>
      </c>
      <c r="D429" s="200"/>
      <c r="E429" s="211">
        <v>0.35</v>
      </c>
      <c r="F429" s="202"/>
      <c r="G429" s="203" t="e">
        <f>E429*(G426)</f>
        <v>#REF!</v>
      </c>
      <c r="J429" s="216" t="e">
        <f>G429</f>
        <v>#REF!</v>
      </c>
    </row>
    <row r="430" spans="1:10" customFormat="1" ht="15" thickBot="1" x14ac:dyDescent="0.35">
      <c r="A430" s="160"/>
      <c r="B430" s="217">
        <v>12</v>
      </c>
      <c r="C430" s="218" t="s">
        <v>239</v>
      </c>
      <c r="D430" s="219" t="s">
        <v>240</v>
      </c>
      <c r="E430" s="219"/>
      <c r="F430" s="220"/>
      <c r="G430" s="221" t="e">
        <f>SUM(G427:G429)</f>
        <v>#REF!</v>
      </c>
    </row>
    <row r="469" spans="1:7" customFormat="1" ht="14.4" x14ac:dyDescent="0.3">
      <c r="A469" s="160"/>
      <c r="B469" s="217"/>
      <c r="C469" s="218"/>
      <c r="D469" s="219"/>
      <c r="E469" s="219"/>
      <c r="F469" s="220"/>
      <c r="G469" s="227"/>
    </row>
    <row r="470" spans="1:7" s="192" customFormat="1" ht="28.5" customHeight="1" x14ac:dyDescent="0.3">
      <c r="A470" s="153" t="s">
        <v>253</v>
      </c>
      <c r="B470" s="153" t="s">
        <v>55</v>
      </c>
      <c r="C470" s="153" t="s">
        <v>254</v>
      </c>
      <c r="D470" s="154" t="s">
        <v>228</v>
      </c>
      <c r="E470" s="193"/>
      <c r="F470" s="194"/>
      <c r="G470" s="194"/>
    </row>
    <row r="471" spans="1:7" customFormat="1" ht="14.4" x14ac:dyDescent="0.3">
      <c r="A471" s="155"/>
      <c r="B471" s="155" t="s">
        <v>56</v>
      </c>
      <c r="C471" s="52" t="s">
        <v>57</v>
      </c>
      <c r="D471" s="53" t="s">
        <v>166</v>
      </c>
      <c r="E471" s="54">
        <f>(11.3+4.2)*1.2</f>
        <v>18.599999999999998</v>
      </c>
      <c r="F471" s="55" t="e">
        <f>F405</f>
        <v>#REF!</v>
      </c>
      <c r="G471" s="156" t="e">
        <f>E471*F471</f>
        <v>#REF!</v>
      </c>
    </row>
    <row r="472" spans="1:7" customFormat="1" ht="14.4" x14ac:dyDescent="0.3">
      <c r="A472" s="155"/>
      <c r="B472" s="155" t="s">
        <v>56</v>
      </c>
      <c r="C472" s="52" t="s">
        <v>167</v>
      </c>
      <c r="D472" s="53" t="s">
        <v>166</v>
      </c>
      <c r="E472" s="54">
        <v>10.119999999999999</v>
      </c>
      <c r="F472" s="55" t="e">
        <f>F406</f>
        <v>#REF!</v>
      </c>
      <c r="G472" s="156" t="e">
        <f>E472*F472</f>
        <v>#REF!</v>
      </c>
    </row>
    <row r="473" spans="1:7" customFormat="1" ht="14.4" x14ac:dyDescent="0.3">
      <c r="A473" s="155"/>
      <c r="B473" s="155" t="s">
        <v>56</v>
      </c>
      <c r="C473" s="52" t="s">
        <v>168</v>
      </c>
      <c r="D473" s="53" t="s">
        <v>166</v>
      </c>
      <c r="E473" s="54"/>
      <c r="F473" s="55" t="e">
        <f>F407</f>
        <v>#REF!</v>
      </c>
      <c r="G473" s="156" t="e">
        <f>E473*F473</f>
        <v>#REF!</v>
      </c>
    </row>
    <row r="474" spans="1:7" customFormat="1" ht="14.4" x14ac:dyDescent="0.3">
      <c r="A474" s="155"/>
      <c r="B474" s="157" t="s">
        <v>169</v>
      </c>
      <c r="C474" s="108"/>
      <c r="D474" s="109"/>
      <c r="E474" s="109"/>
      <c r="F474" s="158"/>
      <c r="G474" s="159" t="e">
        <f>SUM(G471:G473)</f>
        <v>#REF!</v>
      </c>
    </row>
    <row r="475" spans="1:7" customFormat="1" ht="14.4" x14ac:dyDescent="0.3">
      <c r="A475" s="155"/>
      <c r="B475" s="155" t="s">
        <v>58</v>
      </c>
      <c r="C475" s="52" t="s">
        <v>246</v>
      </c>
      <c r="D475" s="53" t="s">
        <v>247</v>
      </c>
      <c r="E475" s="54">
        <v>0.18</v>
      </c>
      <c r="F475" s="55">
        <v>216000</v>
      </c>
      <c r="G475" s="156">
        <f t="shared" ref="G475:G481" si="12">E475*F475</f>
        <v>38880</v>
      </c>
    </row>
    <row r="476" spans="1:7" customFormat="1" ht="14.4" x14ac:dyDescent="0.3">
      <c r="A476" s="155"/>
      <c r="B476" s="155" t="s">
        <v>58</v>
      </c>
      <c r="C476" s="52" t="s">
        <v>248</v>
      </c>
      <c r="D476" s="53" t="s">
        <v>60</v>
      </c>
      <c r="E476" s="54">
        <v>0.84</v>
      </c>
      <c r="F476" s="55">
        <v>750</v>
      </c>
      <c r="G476" s="156">
        <f t="shared" si="12"/>
        <v>630</v>
      </c>
    </row>
    <row r="477" spans="1:7" customFormat="1" ht="14.4" x14ac:dyDescent="0.3">
      <c r="A477" s="155"/>
      <c r="B477" s="155" t="s">
        <v>58</v>
      </c>
      <c r="C477" s="52" t="s">
        <v>249</v>
      </c>
      <c r="D477" s="53" t="s">
        <v>24</v>
      </c>
      <c r="E477" s="54">
        <v>3.5</v>
      </c>
      <c r="F477" s="55"/>
      <c r="G477" s="156">
        <f t="shared" si="12"/>
        <v>0</v>
      </c>
    </row>
    <row r="478" spans="1:7" customFormat="1" ht="14.4" x14ac:dyDescent="0.3">
      <c r="A478" s="155"/>
      <c r="B478" s="155" t="s">
        <v>58</v>
      </c>
      <c r="C478" s="52" t="s">
        <v>30</v>
      </c>
      <c r="D478" s="53" t="s">
        <v>60</v>
      </c>
      <c r="E478" s="54">
        <v>0</v>
      </c>
      <c r="F478" s="55">
        <v>750</v>
      </c>
      <c r="G478" s="156">
        <f t="shared" si="12"/>
        <v>0</v>
      </c>
    </row>
    <row r="479" spans="1:7" customFormat="1" ht="14.4" x14ac:dyDescent="0.3">
      <c r="A479" s="155"/>
      <c r="B479" s="155" t="s">
        <v>58</v>
      </c>
      <c r="C479" s="52" t="s">
        <v>251</v>
      </c>
      <c r="D479" s="53" t="s">
        <v>60</v>
      </c>
      <c r="E479" s="54">
        <v>300</v>
      </c>
      <c r="F479" s="55">
        <v>24</v>
      </c>
      <c r="G479" s="156">
        <f t="shared" si="12"/>
        <v>7200</v>
      </c>
    </row>
    <row r="480" spans="1:7" customFormat="1" ht="14.4" x14ac:dyDescent="0.3">
      <c r="A480" s="155"/>
      <c r="B480" s="155" t="s">
        <v>58</v>
      </c>
      <c r="C480" s="52" t="s">
        <v>252</v>
      </c>
      <c r="D480" s="53" t="s">
        <v>36</v>
      </c>
      <c r="E480" s="54">
        <v>0.65</v>
      </c>
      <c r="F480" s="55">
        <v>4000</v>
      </c>
      <c r="G480" s="156">
        <f t="shared" si="12"/>
        <v>2600</v>
      </c>
    </row>
    <row r="481" spans="1:10" customFormat="1" ht="14.4" x14ac:dyDescent="0.3">
      <c r="A481" s="155"/>
      <c r="B481" s="155" t="s">
        <v>58</v>
      </c>
      <c r="C481" s="52" t="s">
        <v>61</v>
      </c>
      <c r="D481" s="53" t="s">
        <v>36</v>
      </c>
      <c r="E481" s="54">
        <v>0.65</v>
      </c>
      <c r="F481" s="55">
        <v>3500</v>
      </c>
      <c r="G481" s="156">
        <f t="shared" si="12"/>
        <v>2275</v>
      </c>
    </row>
    <row r="482" spans="1:10" customFormat="1" ht="14.4" x14ac:dyDescent="0.3">
      <c r="A482" s="160"/>
      <c r="B482" s="157" t="s">
        <v>175</v>
      </c>
      <c r="C482" s="161"/>
      <c r="D482" s="109"/>
      <c r="E482" s="109"/>
      <c r="F482" s="162"/>
      <c r="G482" s="163">
        <f>SUM(G475:G481)</f>
        <v>51585</v>
      </c>
    </row>
    <row r="483" spans="1:10" customFormat="1" ht="14.4" x14ac:dyDescent="0.3">
      <c r="A483" s="160"/>
      <c r="B483" s="160"/>
      <c r="C483" s="164"/>
      <c r="D483" s="165"/>
      <c r="E483" s="166"/>
      <c r="F483" s="163"/>
      <c r="G483" s="163"/>
    </row>
    <row r="484" spans="1:10" customFormat="1" ht="14.4" x14ac:dyDescent="0.3">
      <c r="A484" s="160"/>
      <c r="B484" s="195">
        <v>1</v>
      </c>
      <c r="C484" s="196" t="s">
        <v>66</v>
      </c>
      <c r="D484" s="197" t="s">
        <v>67</v>
      </c>
      <c r="E484" s="197"/>
      <c r="F484" s="198"/>
      <c r="G484" s="199">
        <f>G482</f>
        <v>51585</v>
      </c>
    </row>
    <row r="485" spans="1:10" customFormat="1" ht="14.4" x14ac:dyDescent="0.3">
      <c r="A485" s="160"/>
      <c r="B485" s="200">
        <v>2</v>
      </c>
      <c r="C485" s="201" t="s">
        <v>68</v>
      </c>
      <c r="D485" s="200" t="s">
        <v>69</v>
      </c>
      <c r="E485" s="200"/>
      <c r="F485" s="202"/>
      <c r="G485" s="203" t="e">
        <f>G474</f>
        <v>#REF!</v>
      </c>
    </row>
    <row r="486" spans="1:10" customFormat="1" ht="15" thickBot="1" x14ac:dyDescent="0.35">
      <c r="A486" s="160"/>
      <c r="B486" s="200">
        <v>3</v>
      </c>
      <c r="C486" s="201" t="s">
        <v>70</v>
      </c>
      <c r="D486" s="200" t="s">
        <v>71</v>
      </c>
      <c r="E486" s="200"/>
      <c r="F486" s="202"/>
      <c r="G486" s="204">
        <v>0</v>
      </c>
      <c r="H486" s="222"/>
    </row>
    <row r="487" spans="1:10" customFormat="1" ht="15" thickBot="1" x14ac:dyDescent="0.35">
      <c r="A487" s="160"/>
      <c r="B487" s="205">
        <v>4</v>
      </c>
      <c r="C487" s="206" t="s">
        <v>72</v>
      </c>
      <c r="D487" s="207" t="s">
        <v>73</v>
      </c>
      <c r="E487" s="207"/>
      <c r="F487" s="208"/>
      <c r="G487" s="209" t="e">
        <f>SUM(G484:G486)</f>
        <v>#REF!</v>
      </c>
      <c r="H487" s="210" t="e">
        <f>G487</f>
        <v>#REF!</v>
      </c>
    </row>
    <row r="488" spans="1:10" customFormat="1" ht="15" thickBot="1" x14ac:dyDescent="0.35">
      <c r="A488" s="160"/>
      <c r="B488" s="200">
        <v>5</v>
      </c>
      <c r="C488" s="201" t="s">
        <v>232</v>
      </c>
      <c r="D488" s="200" t="s">
        <v>233</v>
      </c>
      <c r="E488" s="211">
        <v>7.0000000000000007E-2</v>
      </c>
      <c r="F488" s="202"/>
      <c r="G488" s="204" t="e">
        <f>+G487*E488</f>
        <v>#REF!</v>
      </c>
    </row>
    <row r="489" spans="1:10" customFormat="1" ht="14.4" x14ac:dyDescent="0.3">
      <c r="A489" s="160"/>
      <c r="B489" s="212">
        <v>6</v>
      </c>
      <c r="C489" s="213" t="s">
        <v>234</v>
      </c>
      <c r="D489" s="200" t="s">
        <v>74</v>
      </c>
      <c r="E489" s="200"/>
      <c r="F489" s="202"/>
      <c r="G489" s="214" t="e">
        <f>+G488+G487</f>
        <v>#REF!</v>
      </c>
    </row>
    <row r="490" spans="1:10" customFormat="1" ht="14.4" x14ac:dyDescent="0.3">
      <c r="A490" s="160"/>
      <c r="B490" s="200">
        <v>7</v>
      </c>
      <c r="C490" s="201" t="s">
        <v>235</v>
      </c>
      <c r="D490" s="200" t="s">
        <v>236</v>
      </c>
      <c r="E490" s="211">
        <v>0.15</v>
      </c>
      <c r="F490" s="202"/>
      <c r="G490" s="203" t="e">
        <f>+G489*E490</f>
        <v>#REF!</v>
      </c>
    </row>
    <row r="491" spans="1:10" customFormat="1" ht="15" thickBot="1" x14ac:dyDescent="0.35">
      <c r="A491" s="160"/>
      <c r="B491" s="200">
        <v>8</v>
      </c>
      <c r="C491" s="201" t="s">
        <v>75</v>
      </c>
      <c r="D491" s="200" t="s">
        <v>237</v>
      </c>
      <c r="E491" s="211">
        <v>0.1</v>
      </c>
      <c r="F491" s="202"/>
      <c r="G491" s="204" t="e">
        <f>+G489*E491</f>
        <v>#REF!</v>
      </c>
    </row>
    <row r="492" spans="1:10" customFormat="1" ht="14.4" x14ac:dyDescent="0.3">
      <c r="A492" s="160"/>
      <c r="B492" s="212">
        <v>9</v>
      </c>
      <c r="C492" s="213" t="s">
        <v>76</v>
      </c>
      <c r="D492" s="200" t="s">
        <v>238</v>
      </c>
      <c r="E492" s="211"/>
      <c r="F492" s="202"/>
      <c r="G492" s="214" t="e">
        <f>SUM(G489:G491)-G484</f>
        <v>#REF!</v>
      </c>
    </row>
    <row r="493" spans="1:10" customFormat="1" ht="14.4" x14ac:dyDescent="0.3">
      <c r="A493" s="160"/>
      <c r="B493" s="200">
        <v>10</v>
      </c>
      <c r="C493" s="201" t="s">
        <v>119</v>
      </c>
      <c r="D493" s="200" t="s">
        <v>77</v>
      </c>
      <c r="E493" s="211">
        <v>0.03</v>
      </c>
      <c r="F493" s="202"/>
      <c r="G493" s="203" t="e">
        <f>(G485+G488+G490+G491)*E493</f>
        <v>#REF!</v>
      </c>
      <c r="I493" s="215" t="e">
        <f>G493</f>
        <v>#REF!</v>
      </c>
    </row>
    <row r="494" spans="1:10" customFormat="1" ht="15" thickBot="1" x14ac:dyDescent="0.35">
      <c r="A494" s="160"/>
      <c r="B494" s="200">
        <v>11</v>
      </c>
      <c r="C494" s="201" t="s">
        <v>78</v>
      </c>
      <c r="D494" s="200"/>
      <c r="E494" s="211">
        <v>0.35</v>
      </c>
      <c r="F494" s="202"/>
      <c r="G494" s="203" t="e">
        <f>E494*(G491)</f>
        <v>#REF!</v>
      </c>
      <c r="J494" s="216" t="e">
        <f>G494</f>
        <v>#REF!</v>
      </c>
    </row>
    <row r="495" spans="1:10" customFormat="1" ht="15" thickBot="1" x14ac:dyDescent="0.35">
      <c r="A495" s="160"/>
      <c r="B495" s="217">
        <v>12</v>
      </c>
      <c r="C495" s="218" t="s">
        <v>239</v>
      </c>
      <c r="D495" s="219" t="s">
        <v>240</v>
      </c>
      <c r="E495" s="219"/>
      <c r="F495" s="220"/>
      <c r="G495" s="221" t="e">
        <f>SUM(G492:G494)</f>
        <v>#REF!</v>
      </c>
    </row>
    <row r="496" spans="1:10" s="168" customFormat="1" ht="28.5" customHeight="1" x14ac:dyDescent="0.3">
      <c r="A496" s="188" t="s">
        <v>255</v>
      </c>
      <c r="B496" s="188" t="s">
        <v>226</v>
      </c>
      <c r="C496" s="188" t="s">
        <v>256</v>
      </c>
      <c r="D496" s="189" t="s">
        <v>227</v>
      </c>
      <c r="E496" s="190"/>
      <c r="F496" s="191"/>
      <c r="G496" s="191"/>
    </row>
    <row r="497" spans="1:7" s="192" customFormat="1" ht="28.5" customHeight="1" x14ac:dyDescent="0.3">
      <c r="A497" s="153" t="s">
        <v>156</v>
      </c>
      <c r="B497" s="153" t="s">
        <v>55</v>
      </c>
      <c r="C497" s="153" t="s">
        <v>257</v>
      </c>
      <c r="D497" s="154" t="s">
        <v>228</v>
      </c>
      <c r="E497" s="193"/>
      <c r="F497" s="194"/>
      <c r="G497" s="194"/>
    </row>
    <row r="498" spans="1:7" customFormat="1" ht="14.4" x14ac:dyDescent="0.3">
      <c r="A498" s="155"/>
      <c r="B498" s="155" t="s">
        <v>56</v>
      </c>
      <c r="C498" s="52" t="s">
        <v>57</v>
      </c>
      <c r="D498" s="53" t="s">
        <v>166</v>
      </c>
      <c r="E498" s="54">
        <f>1.71+4.2</f>
        <v>5.91</v>
      </c>
      <c r="F498" s="55" t="e">
        <f>F471</f>
        <v>#REF!</v>
      </c>
      <c r="G498" s="156" t="e">
        <f>E498*F498</f>
        <v>#REF!</v>
      </c>
    </row>
    <row r="499" spans="1:7" customFormat="1" ht="14.4" x14ac:dyDescent="0.3">
      <c r="A499" s="155"/>
      <c r="B499" s="155" t="s">
        <v>56</v>
      </c>
      <c r="C499" s="52" t="s">
        <v>167</v>
      </c>
      <c r="D499" s="53" t="s">
        <v>166</v>
      </c>
      <c r="E499" s="54">
        <f>14.35+1.45</f>
        <v>15.799999999999999</v>
      </c>
      <c r="F499" s="55" t="e">
        <f>F472</f>
        <v>#REF!</v>
      </c>
      <c r="G499" s="156" t="e">
        <f>E499*F499</f>
        <v>#REF!</v>
      </c>
    </row>
    <row r="500" spans="1:7" customFormat="1" ht="14.4" x14ac:dyDescent="0.3">
      <c r="A500" s="155"/>
      <c r="B500" s="155" t="s">
        <v>56</v>
      </c>
      <c r="C500" s="52" t="s">
        <v>168</v>
      </c>
      <c r="D500" s="53" t="s">
        <v>166</v>
      </c>
      <c r="E500" s="54"/>
      <c r="F500" s="55" t="e">
        <f>F473</f>
        <v>#REF!</v>
      </c>
      <c r="G500" s="156" t="e">
        <f>E500*F500</f>
        <v>#REF!</v>
      </c>
    </row>
    <row r="501" spans="1:7" customFormat="1" ht="14.4" x14ac:dyDescent="0.3">
      <c r="A501" s="155"/>
      <c r="B501" s="157" t="s">
        <v>169</v>
      </c>
      <c r="C501" s="108"/>
      <c r="D501" s="109"/>
      <c r="E501" s="109"/>
      <c r="F501" s="158"/>
      <c r="G501" s="159" t="e">
        <f>SUM(G498:G500)</f>
        <v>#REF!</v>
      </c>
    </row>
    <row r="502" spans="1:7" customFormat="1" ht="14.4" x14ac:dyDescent="0.3">
      <c r="A502" s="155"/>
      <c r="B502" s="155" t="s">
        <v>58</v>
      </c>
      <c r="C502" s="52" t="s">
        <v>246</v>
      </c>
      <c r="D502" s="53" t="s">
        <v>247</v>
      </c>
      <c r="E502" s="54">
        <f>0.085*1.25</f>
        <v>0.10625000000000001</v>
      </c>
      <c r="F502" s="55">
        <v>216000</v>
      </c>
      <c r="G502" s="156">
        <f t="shared" ref="G502:G509" si="13">E502*F502</f>
        <v>22950.000000000004</v>
      </c>
    </row>
    <row r="503" spans="1:7" customFormat="1" ht="14.4" x14ac:dyDescent="0.3">
      <c r="A503" s="155"/>
      <c r="B503" s="155" t="s">
        <v>58</v>
      </c>
      <c r="C503" s="52" t="s">
        <v>248</v>
      </c>
      <c r="D503" s="53" t="s">
        <v>60</v>
      </c>
      <c r="E503" s="54">
        <v>0.6</v>
      </c>
      <c r="F503" s="55">
        <v>750</v>
      </c>
      <c r="G503" s="156">
        <f t="shared" si="13"/>
        <v>450</v>
      </c>
    </row>
    <row r="504" spans="1:7" customFormat="1" ht="14.4" x14ac:dyDescent="0.3">
      <c r="A504" s="155"/>
      <c r="B504" s="155" t="s">
        <v>58</v>
      </c>
      <c r="C504" s="52" t="s">
        <v>249</v>
      </c>
      <c r="D504" s="53" t="s">
        <v>24</v>
      </c>
      <c r="E504" s="54">
        <v>2.5</v>
      </c>
      <c r="F504" s="55">
        <v>680</v>
      </c>
      <c r="G504" s="156">
        <f t="shared" si="13"/>
        <v>1700</v>
      </c>
    </row>
    <row r="505" spans="1:7" customFormat="1" ht="14.4" x14ac:dyDescent="0.3">
      <c r="A505" s="155"/>
      <c r="B505" s="155" t="s">
        <v>58</v>
      </c>
      <c r="C505" s="52" t="s">
        <v>250</v>
      </c>
      <c r="D505" s="53" t="s">
        <v>24</v>
      </c>
      <c r="E505" s="54">
        <v>0.36</v>
      </c>
      <c r="F505" s="55">
        <v>1650</v>
      </c>
      <c r="G505" s="156">
        <f t="shared" si="13"/>
        <v>594</v>
      </c>
    </row>
    <row r="506" spans="1:7" customFormat="1" ht="14.4" x14ac:dyDescent="0.3">
      <c r="A506" s="155"/>
      <c r="B506" s="155" t="s">
        <v>58</v>
      </c>
      <c r="C506" s="52" t="s">
        <v>30</v>
      </c>
      <c r="D506" s="53" t="s">
        <v>60</v>
      </c>
      <c r="E506" s="54">
        <v>2</v>
      </c>
      <c r="F506" s="55">
        <v>750</v>
      </c>
      <c r="G506" s="156">
        <f t="shared" si="13"/>
        <v>1500</v>
      </c>
    </row>
    <row r="507" spans="1:7" customFormat="1" ht="14.4" x14ac:dyDescent="0.3">
      <c r="A507" s="155"/>
      <c r="B507" s="155" t="s">
        <v>58</v>
      </c>
      <c r="C507" s="52" t="s">
        <v>251</v>
      </c>
      <c r="D507" s="53" t="s">
        <v>60</v>
      </c>
      <c r="E507" s="54">
        <v>300</v>
      </c>
      <c r="F507" s="55">
        <v>24</v>
      </c>
      <c r="G507" s="156">
        <f t="shared" si="13"/>
        <v>7200</v>
      </c>
    </row>
    <row r="508" spans="1:7" customFormat="1" ht="14.4" x14ac:dyDescent="0.3">
      <c r="A508" s="155"/>
      <c r="B508" s="155" t="s">
        <v>58</v>
      </c>
      <c r="C508" s="52" t="s">
        <v>252</v>
      </c>
      <c r="D508" s="53" t="s">
        <v>36</v>
      </c>
      <c r="E508" s="54">
        <v>0.65</v>
      </c>
      <c r="F508" s="55">
        <v>4000</v>
      </c>
      <c r="G508" s="156">
        <f t="shared" si="13"/>
        <v>2600</v>
      </c>
    </row>
    <row r="509" spans="1:7" customFormat="1" ht="14.4" x14ac:dyDescent="0.3">
      <c r="A509" s="155"/>
      <c r="B509" s="155" t="s">
        <v>58</v>
      </c>
      <c r="C509" s="52" t="s">
        <v>61</v>
      </c>
      <c r="D509" s="53" t="s">
        <v>36</v>
      </c>
      <c r="E509" s="54">
        <v>0.65</v>
      </c>
      <c r="F509" s="55">
        <v>3500</v>
      </c>
      <c r="G509" s="156">
        <f t="shared" si="13"/>
        <v>2275</v>
      </c>
    </row>
    <row r="510" spans="1:7" customFormat="1" ht="14.4" x14ac:dyDescent="0.3">
      <c r="A510" s="160"/>
      <c r="B510" s="157" t="s">
        <v>175</v>
      </c>
      <c r="C510" s="161"/>
      <c r="D510" s="109"/>
      <c r="E510" s="109"/>
      <c r="F510" s="162"/>
      <c r="G510" s="163">
        <f>SUM(G502:G509)</f>
        <v>39269</v>
      </c>
    </row>
    <row r="511" spans="1:7" customFormat="1" ht="14.4" x14ac:dyDescent="0.3">
      <c r="A511" s="160"/>
      <c r="B511" s="160"/>
      <c r="C511" s="164"/>
      <c r="D511" s="165"/>
      <c r="E511" s="166"/>
      <c r="F511" s="163"/>
      <c r="G511" s="163"/>
    </row>
    <row r="512" spans="1:7" customFormat="1" ht="14.4" x14ac:dyDescent="0.3">
      <c r="A512" s="160"/>
      <c r="B512" s="195">
        <v>1</v>
      </c>
      <c r="C512" s="196" t="s">
        <v>66</v>
      </c>
      <c r="D512" s="197" t="s">
        <v>67</v>
      </c>
      <c r="E512" s="197"/>
      <c r="F512" s="198"/>
      <c r="G512" s="199">
        <f>G510</f>
        <v>39269</v>
      </c>
    </row>
    <row r="513" spans="1:10" customFormat="1" ht="14.4" x14ac:dyDescent="0.3">
      <c r="A513" s="160"/>
      <c r="B513" s="200">
        <v>2</v>
      </c>
      <c r="C513" s="201" t="s">
        <v>68</v>
      </c>
      <c r="D513" s="200" t="s">
        <v>69</v>
      </c>
      <c r="E513" s="200"/>
      <c r="F513" s="202"/>
      <c r="G513" s="203" t="e">
        <f>G501</f>
        <v>#REF!</v>
      </c>
    </row>
    <row r="514" spans="1:10" customFormat="1" ht="15" thickBot="1" x14ac:dyDescent="0.35">
      <c r="A514" s="160"/>
      <c r="B514" s="200">
        <v>3</v>
      </c>
      <c r="C514" s="201" t="s">
        <v>70</v>
      </c>
      <c r="D514" s="200" t="s">
        <v>71</v>
      </c>
      <c r="E514" s="200"/>
      <c r="F514" s="202"/>
      <c r="G514" s="204">
        <v>0</v>
      </c>
      <c r="H514" s="222"/>
    </row>
    <row r="515" spans="1:10" customFormat="1" ht="15" thickBot="1" x14ac:dyDescent="0.35">
      <c r="A515" s="160"/>
      <c r="B515" s="205">
        <v>4</v>
      </c>
      <c r="C515" s="206" t="s">
        <v>72</v>
      </c>
      <c r="D515" s="207" t="s">
        <v>73</v>
      </c>
      <c r="E515" s="207"/>
      <c r="F515" s="208"/>
      <c r="G515" s="209" t="e">
        <f>SUM(G512:G514)</f>
        <v>#REF!</v>
      </c>
      <c r="H515" s="210" t="e">
        <f>G515</f>
        <v>#REF!</v>
      </c>
    </row>
    <row r="516" spans="1:10" customFormat="1" ht="15" thickBot="1" x14ac:dyDescent="0.35">
      <c r="A516" s="160"/>
      <c r="B516" s="200">
        <v>5</v>
      </c>
      <c r="C516" s="201" t="s">
        <v>232</v>
      </c>
      <c r="D516" s="200" t="s">
        <v>233</v>
      </c>
      <c r="E516" s="211">
        <v>7.0000000000000007E-2</v>
      </c>
      <c r="F516" s="202"/>
      <c r="G516" s="204" t="e">
        <f>+G515*E516</f>
        <v>#REF!</v>
      </c>
    </row>
    <row r="517" spans="1:10" customFormat="1" ht="14.4" x14ac:dyDescent="0.3">
      <c r="A517" s="160"/>
      <c r="B517" s="212">
        <v>6</v>
      </c>
      <c r="C517" s="213" t="s">
        <v>234</v>
      </c>
      <c r="D517" s="200" t="s">
        <v>74</v>
      </c>
      <c r="E517" s="200"/>
      <c r="F517" s="202"/>
      <c r="G517" s="214" t="e">
        <f>+G516+G515</f>
        <v>#REF!</v>
      </c>
    </row>
    <row r="518" spans="1:10" customFormat="1" ht="14.4" x14ac:dyDescent="0.3">
      <c r="A518" s="160"/>
      <c r="B518" s="200">
        <v>7</v>
      </c>
      <c r="C518" s="201" t="s">
        <v>235</v>
      </c>
      <c r="D518" s="200" t="s">
        <v>236</v>
      </c>
      <c r="E518" s="211">
        <v>0.15</v>
      </c>
      <c r="F518" s="202"/>
      <c r="G518" s="203" t="e">
        <f>+G517*E518</f>
        <v>#REF!</v>
      </c>
    </row>
    <row r="519" spans="1:10" customFormat="1" ht="15" thickBot="1" x14ac:dyDescent="0.35">
      <c r="A519" s="160"/>
      <c r="B519" s="200">
        <v>8</v>
      </c>
      <c r="C519" s="201" t="s">
        <v>75</v>
      </c>
      <c r="D519" s="200" t="s">
        <v>237</v>
      </c>
      <c r="E519" s="211">
        <v>0.1</v>
      </c>
      <c r="F519" s="202"/>
      <c r="G519" s="204" t="e">
        <f>+G517*E519</f>
        <v>#REF!</v>
      </c>
    </row>
    <row r="520" spans="1:10" customFormat="1" ht="14.4" x14ac:dyDescent="0.3">
      <c r="A520" s="160"/>
      <c r="B520" s="212">
        <v>9</v>
      </c>
      <c r="C520" s="213" t="s">
        <v>76</v>
      </c>
      <c r="D520" s="200" t="s">
        <v>238</v>
      </c>
      <c r="E520" s="211"/>
      <c r="F520" s="202"/>
      <c r="G520" s="214" t="e">
        <f>SUM(G517:G519)-G512</f>
        <v>#REF!</v>
      </c>
    </row>
    <row r="521" spans="1:10" customFormat="1" ht="14.4" x14ac:dyDescent="0.3">
      <c r="A521" s="160"/>
      <c r="B521" s="200">
        <v>10</v>
      </c>
      <c r="C521" s="201" t="s">
        <v>119</v>
      </c>
      <c r="D521" s="200" t="s">
        <v>77</v>
      </c>
      <c r="E521" s="211">
        <v>0.03</v>
      </c>
      <c r="F521" s="202"/>
      <c r="G521" s="203" t="e">
        <f>(G513+G516+G518+G519)*E521</f>
        <v>#REF!</v>
      </c>
      <c r="I521" s="215" t="e">
        <f>G521</f>
        <v>#REF!</v>
      </c>
    </row>
    <row r="522" spans="1:10" customFormat="1" ht="15" thickBot="1" x14ac:dyDescent="0.35">
      <c r="A522" s="160"/>
      <c r="B522" s="200">
        <v>11</v>
      </c>
      <c r="C522" s="201" t="s">
        <v>78</v>
      </c>
      <c r="D522" s="200"/>
      <c r="E522" s="211">
        <v>0.35</v>
      </c>
      <c r="F522" s="202"/>
      <c r="G522" s="203" t="e">
        <f>E522*(G519)</f>
        <v>#REF!</v>
      </c>
      <c r="J522" s="216" t="e">
        <f>G522</f>
        <v>#REF!</v>
      </c>
    </row>
    <row r="523" spans="1:10" customFormat="1" ht="15" thickBot="1" x14ac:dyDescent="0.35">
      <c r="A523" s="160"/>
      <c r="B523" s="217">
        <v>12</v>
      </c>
      <c r="C523" s="218" t="s">
        <v>239</v>
      </c>
      <c r="D523" s="219" t="s">
        <v>240</v>
      </c>
      <c r="E523" s="219"/>
      <c r="F523" s="220"/>
      <c r="G523" s="221" t="e">
        <f>SUM(G520:G522)</f>
        <v>#REF!</v>
      </c>
    </row>
    <row r="524" spans="1:10" s="192" customFormat="1" ht="28.5" customHeight="1" x14ac:dyDescent="0.3">
      <c r="A524" s="223" t="s">
        <v>129</v>
      </c>
      <c r="B524" s="223" t="s">
        <v>55</v>
      </c>
      <c r="C524" s="223" t="s">
        <v>258</v>
      </c>
      <c r="D524" s="224" t="s">
        <v>36</v>
      </c>
      <c r="E524" s="225"/>
      <c r="F524" s="226"/>
      <c r="G524" s="226"/>
    </row>
    <row r="525" spans="1:10" customFormat="1" ht="14.4" x14ac:dyDescent="0.3">
      <c r="A525" s="155"/>
      <c r="B525" s="155" t="s">
        <v>56</v>
      </c>
      <c r="C525" s="52" t="s">
        <v>57</v>
      </c>
      <c r="D525" s="53" t="s">
        <v>166</v>
      </c>
      <c r="E525" s="54">
        <v>14.7</v>
      </c>
      <c r="F525" s="55" t="e">
        <f>F498</f>
        <v>#REF!</v>
      </c>
      <c r="G525" s="156" t="e">
        <f>E525*F525</f>
        <v>#REF!</v>
      </c>
    </row>
    <row r="526" spans="1:10" customFormat="1" ht="14.4" x14ac:dyDescent="0.3">
      <c r="A526" s="155"/>
      <c r="B526" s="155" t="s">
        <v>56</v>
      </c>
      <c r="C526" s="52" t="s">
        <v>167</v>
      </c>
      <c r="D526" s="53" t="s">
        <v>166</v>
      </c>
      <c r="E526" s="54">
        <v>24.5</v>
      </c>
      <c r="F526" s="55" t="e">
        <f>F499</f>
        <v>#REF!</v>
      </c>
      <c r="G526" s="156" t="e">
        <f>E526*F526</f>
        <v>#REF!</v>
      </c>
    </row>
    <row r="527" spans="1:10" customFormat="1" ht="14.4" x14ac:dyDescent="0.3">
      <c r="A527" s="155"/>
      <c r="B527" s="155" t="s">
        <v>56</v>
      </c>
      <c r="C527" s="52" t="s">
        <v>168</v>
      </c>
      <c r="D527" s="53" t="s">
        <v>166</v>
      </c>
      <c r="E527" s="54"/>
      <c r="F527" s="55" t="e">
        <f>F500</f>
        <v>#REF!</v>
      </c>
      <c r="G527" s="156" t="e">
        <f>E527*F527</f>
        <v>#REF!</v>
      </c>
    </row>
    <row r="528" spans="1:10" customFormat="1" ht="14.4" x14ac:dyDescent="0.3">
      <c r="A528" s="155"/>
      <c r="B528" s="157" t="s">
        <v>169</v>
      </c>
      <c r="C528" s="108"/>
      <c r="D528" s="109"/>
      <c r="E528" s="109"/>
      <c r="F528" s="158"/>
      <c r="G528" s="159" t="e">
        <f>SUM(G525:G527)</f>
        <v>#REF!</v>
      </c>
    </row>
    <row r="529" spans="1:8" customFormat="1" ht="14.4" x14ac:dyDescent="0.3">
      <c r="A529" s="155"/>
      <c r="B529" s="155" t="s">
        <v>58</v>
      </c>
      <c r="C529" s="52" t="s">
        <v>246</v>
      </c>
      <c r="D529" s="53" t="s">
        <v>247</v>
      </c>
      <c r="E529" s="54">
        <f>0.05</f>
        <v>0.05</v>
      </c>
      <c r="F529" s="55">
        <v>216000</v>
      </c>
      <c r="G529" s="156">
        <f t="shared" ref="G529:G536" si="14">E529*F529</f>
        <v>10800</v>
      </c>
    </row>
    <row r="530" spans="1:8" customFormat="1" ht="14.4" x14ac:dyDescent="0.3">
      <c r="A530" s="155"/>
      <c r="B530" s="155" t="s">
        <v>58</v>
      </c>
      <c r="C530" s="52" t="s">
        <v>248</v>
      </c>
      <c r="D530" s="53" t="s">
        <v>60</v>
      </c>
      <c r="E530" s="54">
        <v>0.4</v>
      </c>
      <c r="F530" s="55">
        <v>750</v>
      </c>
      <c r="G530" s="156">
        <f t="shared" si="14"/>
        <v>300</v>
      </c>
    </row>
    <row r="531" spans="1:8" customFormat="1" ht="14.4" x14ac:dyDescent="0.3">
      <c r="A531" s="155"/>
      <c r="B531" s="155" t="s">
        <v>58</v>
      </c>
      <c r="C531" s="52" t="s">
        <v>249</v>
      </c>
      <c r="D531" s="53" t="s">
        <v>24</v>
      </c>
      <c r="E531" s="54">
        <v>2.5</v>
      </c>
      <c r="F531" s="55">
        <v>680</v>
      </c>
      <c r="G531" s="156">
        <f t="shared" si="14"/>
        <v>1700</v>
      </c>
    </row>
    <row r="532" spans="1:8" customFormat="1" ht="14.4" x14ac:dyDescent="0.3">
      <c r="A532" s="155"/>
      <c r="B532" s="155" t="s">
        <v>58</v>
      </c>
      <c r="C532" s="52" t="s">
        <v>250</v>
      </c>
      <c r="D532" s="53" t="s">
        <v>24</v>
      </c>
      <c r="E532" s="54">
        <v>0</v>
      </c>
      <c r="F532" s="55">
        <v>1650</v>
      </c>
      <c r="G532" s="156">
        <f t="shared" si="14"/>
        <v>0</v>
      </c>
    </row>
    <row r="533" spans="1:8" customFormat="1" ht="14.4" x14ac:dyDescent="0.3">
      <c r="A533" s="155"/>
      <c r="B533" s="155" t="s">
        <v>58</v>
      </c>
      <c r="C533" s="52" t="s">
        <v>30</v>
      </c>
      <c r="D533" s="53" t="s">
        <v>60</v>
      </c>
      <c r="E533" s="54">
        <v>1.1000000000000001</v>
      </c>
      <c r="F533" s="55">
        <v>750</v>
      </c>
      <c r="G533" s="156">
        <f t="shared" si="14"/>
        <v>825.00000000000011</v>
      </c>
    </row>
    <row r="534" spans="1:8" customFormat="1" ht="14.4" x14ac:dyDescent="0.3">
      <c r="A534" s="155"/>
      <c r="B534" s="155" t="s">
        <v>58</v>
      </c>
      <c r="C534" s="52" t="s">
        <v>251</v>
      </c>
      <c r="D534" s="53" t="s">
        <v>60</v>
      </c>
      <c r="E534" s="54">
        <v>300</v>
      </c>
      <c r="F534" s="55">
        <v>24</v>
      </c>
      <c r="G534" s="156">
        <f t="shared" si="14"/>
        <v>7200</v>
      </c>
    </row>
    <row r="535" spans="1:8" customFormat="1" ht="14.4" x14ac:dyDescent="0.3">
      <c r="A535" s="155"/>
      <c r="B535" s="155" t="s">
        <v>58</v>
      </c>
      <c r="C535" s="52" t="s">
        <v>252</v>
      </c>
      <c r="D535" s="53" t="s">
        <v>36</v>
      </c>
      <c r="E535" s="54">
        <v>0.65</v>
      </c>
      <c r="F535" s="55">
        <v>4000</v>
      </c>
      <c r="G535" s="156">
        <f t="shared" si="14"/>
        <v>2600</v>
      </c>
    </row>
    <row r="536" spans="1:8" customFormat="1" ht="14.4" x14ac:dyDescent="0.3">
      <c r="A536" s="155"/>
      <c r="B536" s="155" t="s">
        <v>58</v>
      </c>
      <c r="C536" s="52" t="s">
        <v>61</v>
      </c>
      <c r="D536" s="53" t="s">
        <v>36</v>
      </c>
      <c r="E536" s="54">
        <v>0.65</v>
      </c>
      <c r="F536" s="55">
        <v>3500</v>
      </c>
      <c r="G536" s="156">
        <f t="shared" si="14"/>
        <v>2275</v>
      </c>
    </row>
    <row r="537" spans="1:8" customFormat="1" ht="14.4" x14ac:dyDescent="0.3">
      <c r="A537" s="160"/>
      <c r="B537" s="157" t="s">
        <v>175</v>
      </c>
      <c r="C537" s="161"/>
      <c r="D537" s="109"/>
      <c r="E537" s="109"/>
      <c r="F537" s="162"/>
      <c r="G537" s="163">
        <f>SUM(G529:G536)</f>
        <v>25700</v>
      </c>
    </row>
    <row r="538" spans="1:8" customFormat="1" ht="14.4" x14ac:dyDescent="0.3">
      <c r="A538" s="160"/>
      <c r="B538" s="160"/>
      <c r="C538" s="164"/>
      <c r="D538" s="165"/>
      <c r="E538" s="166"/>
      <c r="F538" s="163"/>
      <c r="G538" s="163"/>
    </row>
    <row r="539" spans="1:8" customFormat="1" ht="14.4" x14ac:dyDescent="0.3">
      <c r="A539" s="160"/>
      <c r="B539" s="195">
        <v>1</v>
      </c>
      <c r="C539" s="196" t="s">
        <v>66</v>
      </c>
      <c r="D539" s="197" t="s">
        <v>67</v>
      </c>
      <c r="E539" s="197"/>
      <c r="F539" s="198"/>
      <c r="G539" s="199">
        <f>G537</f>
        <v>25700</v>
      </c>
    </row>
    <row r="540" spans="1:8" customFormat="1" ht="14.4" x14ac:dyDescent="0.3">
      <c r="A540" s="160"/>
      <c r="B540" s="200">
        <v>2</v>
      </c>
      <c r="C540" s="201" t="s">
        <v>68</v>
      </c>
      <c r="D540" s="200" t="s">
        <v>69</v>
      </c>
      <c r="E540" s="200"/>
      <c r="F540" s="202"/>
      <c r="G540" s="203" t="e">
        <f>G528</f>
        <v>#REF!</v>
      </c>
    </row>
    <row r="541" spans="1:8" customFormat="1" ht="15" thickBot="1" x14ac:dyDescent="0.35">
      <c r="A541" s="160"/>
      <c r="B541" s="200">
        <v>3</v>
      </c>
      <c r="C541" s="201" t="s">
        <v>70</v>
      </c>
      <c r="D541" s="200" t="s">
        <v>71</v>
      </c>
      <c r="E541" s="200"/>
      <c r="F541" s="202"/>
      <c r="G541" s="204">
        <v>0</v>
      </c>
      <c r="H541" s="222"/>
    </row>
    <row r="542" spans="1:8" customFormat="1" ht="15" thickBot="1" x14ac:dyDescent="0.35">
      <c r="A542" s="160"/>
      <c r="B542" s="205">
        <v>4</v>
      </c>
      <c r="C542" s="206" t="s">
        <v>72</v>
      </c>
      <c r="D542" s="207" t="s">
        <v>73</v>
      </c>
      <c r="E542" s="207"/>
      <c r="F542" s="208"/>
      <c r="G542" s="209" t="e">
        <f>SUM(G539:G541)</f>
        <v>#REF!</v>
      </c>
      <c r="H542" s="210" t="e">
        <f>G542</f>
        <v>#REF!</v>
      </c>
    </row>
    <row r="543" spans="1:8" customFormat="1" ht="15" thickBot="1" x14ac:dyDescent="0.35">
      <c r="A543" s="160"/>
      <c r="B543" s="200">
        <v>5</v>
      </c>
      <c r="C543" s="201" t="s">
        <v>232</v>
      </c>
      <c r="D543" s="200" t="s">
        <v>233</v>
      </c>
      <c r="E543" s="211">
        <v>7.0000000000000007E-2</v>
      </c>
      <c r="F543" s="202"/>
      <c r="G543" s="204" t="e">
        <f>+G542*E543</f>
        <v>#REF!</v>
      </c>
    </row>
    <row r="544" spans="1:8" customFormat="1" ht="14.4" x14ac:dyDescent="0.3">
      <c r="A544" s="160"/>
      <c r="B544" s="212">
        <v>6</v>
      </c>
      <c r="C544" s="213" t="s">
        <v>234</v>
      </c>
      <c r="D544" s="200" t="s">
        <v>74</v>
      </c>
      <c r="E544" s="200"/>
      <c r="F544" s="202"/>
      <c r="G544" s="214" t="e">
        <f>+G543+G542</f>
        <v>#REF!</v>
      </c>
    </row>
    <row r="545" spans="1:10" customFormat="1" ht="14.4" x14ac:dyDescent="0.3">
      <c r="A545" s="160"/>
      <c r="B545" s="200">
        <v>7</v>
      </c>
      <c r="C545" s="201" t="s">
        <v>235</v>
      </c>
      <c r="D545" s="200" t="s">
        <v>236</v>
      </c>
      <c r="E545" s="211">
        <v>0.15</v>
      </c>
      <c r="F545" s="202"/>
      <c r="G545" s="203" t="e">
        <f>+G544*E545</f>
        <v>#REF!</v>
      </c>
    </row>
    <row r="546" spans="1:10" customFormat="1" ht="15" thickBot="1" x14ac:dyDescent="0.35">
      <c r="A546" s="160"/>
      <c r="B546" s="200">
        <v>8</v>
      </c>
      <c r="C546" s="201" t="s">
        <v>75</v>
      </c>
      <c r="D546" s="200" t="s">
        <v>237</v>
      </c>
      <c r="E546" s="211">
        <v>0.1</v>
      </c>
      <c r="F546" s="202"/>
      <c r="G546" s="204" t="e">
        <f>+G544*E546</f>
        <v>#REF!</v>
      </c>
    </row>
    <row r="547" spans="1:10" customFormat="1" ht="14.4" x14ac:dyDescent="0.3">
      <c r="A547" s="160"/>
      <c r="B547" s="212">
        <v>9</v>
      </c>
      <c r="C547" s="213" t="s">
        <v>76</v>
      </c>
      <c r="D547" s="200" t="s">
        <v>238</v>
      </c>
      <c r="E547" s="211"/>
      <c r="F547" s="202"/>
      <c r="G547" s="214" t="e">
        <f>SUM(G544:G546)-G539</f>
        <v>#REF!</v>
      </c>
    </row>
    <row r="548" spans="1:10" customFormat="1" ht="14.4" x14ac:dyDescent="0.3">
      <c r="A548" s="160"/>
      <c r="B548" s="200">
        <v>10</v>
      </c>
      <c r="C548" s="201" t="s">
        <v>119</v>
      </c>
      <c r="D548" s="200" t="s">
        <v>77</v>
      </c>
      <c r="E548" s="211">
        <v>0.03</v>
      </c>
      <c r="F548" s="202"/>
      <c r="G548" s="203" t="e">
        <f>(G540+G543+G545+G546)*E548</f>
        <v>#REF!</v>
      </c>
      <c r="I548" s="215" t="e">
        <f>G548</f>
        <v>#REF!</v>
      </c>
    </row>
    <row r="549" spans="1:10" customFormat="1" ht="15" thickBot="1" x14ac:dyDescent="0.35">
      <c r="A549" s="160"/>
      <c r="B549" s="200">
        <v>11</v>
      </c>
      <c r="C549" s="201" t="s">
        <v>78</v>
      </c>
      <c r="D549" s="200"/>
      <c r="E549" s="211">
        <v>0.35</v>
      </c>
      <c r="F549" s="202"/>
      <c r="G549" s="203" t="e">
        <f>E549*(G546)</f>
        <v>#REF!</v>
      </c>
      <c r="J549" s="216" t="e">
        <f>G549</f>
        <v>#REF!</v>
      </c>
    </row>
    <row r="550" spans="1:10" customFormat="1" ht="15" thickBot="1" x14ac:dyDescent="0.35">
      <c r="A550" s="160"/>
      <c r="B550" s="217">
        <v>12</v>
      </c>
      <c r="C550" s="218" t="s">
        <v>239</v>
      </c>
      <c r="D550" s="219" t="s">
        <v>240</v>
      </c>
      <c r="E550" s="219"/>
      <c r="F550" s="220"/>
      <c r="G550" s="221" t="e">
        <f>SUM(G547:G549)</f>
        <v>#REF!</v>
      </c>
      <c r="H550" s="222"/>
    </row>
    <row r="551" spans="1:10" customFormat="1" ht="14.4" x14ac:dyDescent="0.3">
      <c r="A551" s="160"/>
      <c r="B551" s="217"/>
      <c r="C551" s="218"/>
      <c r="D551" s="219"/>
      <c r="E551" s="219"/>
      <c r="F551" s="220"/>
      <c r="G551" s="227"/>
      <c r="H551" s="222"/>
    </row>
    <row r="552" spans="1:10" customFormat="1" ht="14.4" x14ac:dyDescent="0.3">
      <c r="A552" s="160"/>
      <c r="B552" s="217"/>
      <c r="C552" s="218"/>
      <c r="D552" s="219"/>
      <c r="E552" s="219"/>
      <c r="F552" s="220"/>
      <c r="G552" s="227"/>
      <c r="H552" s="222"/>
    </row>
    <row r="553" spans="1:10" customFormat="1" ht="14.4" x14ac:dyDescent="0.3">
      <c r="A553" s="160"/>
      <c r="B553" s="217"/>
      <c r="C553" s="218"/>
      <c r="D553" s="219"/>
      <c r="E553" s="219"/>
      <c r="F553" s="220"/>
      <c r="G553" s="227"/>
      <c r="H553" s="222"/>
    </row>
    <row r="554" spans="1:10" customFormat="1" ht="14.4" x14ac:dyDescent="0.3">
      <c r="A554" s="160"/>
      <c r="B554" s="217"/>
      <c r="C554" s="218"/>
      <c r="D554" s="219"/>
      <c r="E554" s="219"/>
      <c r="F554" s="220"/>
      <c r="G554" s="227"/>
      <c r="H554" s="222"/>
    </row>
    <row r="555" spans="1:10" customFormat="1" ht="14.4" x14ac:dyDescent="0.3">
      <c r="A555" s="160"/>
      <c r="B555" s="217"/>
      <c r="C555" s="218"/>
      <c r="D555" s="219"/>
      <c r="E555" s="219"/>
      <c r="F555" s="220"/>
      <c r="G555" s="227"/>
      <c r="H555" s="222"/>
    </row>
    <row r="556" spans="1:10" customFormat="1" ht="14.4" x14ac:dyDescent="0.3">
      <c r="A556" s="160"/>
      <c r="B556" s="217"/>
      <c r="C556" s="218"/>
      <c r="D556" s="219"/>
      <c r="E556" s="219"/>
      <c r="F556" s="220"/>
      <c r="G556" s="227"/>
      <c r="H556" s="222"/>
    </row>
    <row r="557" spans="1:10" customFormat="1" ht="14.4" x14ac:dyDescent="0.3">
      <c r="A557" s="160"/>
      <c r="B557" s="217"/>
      <c r="C557" s="218"/>
      <c r="D557" s="219"/>
      <c r="E557" s="219"/>
      <c r="F557" s="220"/>
      <c r="G557" s="227"/>
      <c r="H557" s="222"/>
    </row>
    <row r="558" spans="1:10" customFormat="1" ht="14.4" x14ac:dyDescent="0.3">
      <c r="A558" s="160"/>
      <c r="B558" s="217"/>
      <c r="C558" s="218"/>
      <c r="D558" s="219"/>
      <c r="E558" s="219"/>
      <c r="F558" s="220"/>
      <c r="G558" s="227"/>
      <c r="H558" s="222"/>
    </row>
    <row r="559" spans="1:10" customFormat="1" ht="14.4" x14ac:dyDescent="0.3">
      <c r="A559" s="160"/>
      <c r="B559" s="217"/>
      <c r="C559" s="218"/>
      <c r="D559" s="219"/>
      <c r="E559" s="219"/>
      <c r="F559" s="220"/>
      <c r="G559" s="227"/>
      <c r="H559" s="222"/>
    </row>
    <row r="560" spans="1:10" customFormat="1" ht="14.4" x14ac:dyDescent="0.3">
      <c r="A560" s="160"/>
      <c r="B560" s="217"/>
      <c r="C560" s="218"/>
      <c r="D560" s="219"/>
      <c r="E560" s="219"/>
      <c r="F560" s="220"/>
      <c r="G560" s="227"/>
      <c r="H560" s="222"/>
    </row>
    <row r="561" spans="1:8" customFormat="1" ht="14.4" x14ac:dyDescent="0.3">
      <c r="A561" s="160"/>
      <c r="B561" s="217"/>
      <c r="C561" s="218"/>
      <c r="D561" s="219"/>
      <c r="E561" s="219"/>
      <c r="F561" s="220"/>
      <c r="G561" s="227"/>
      <c r="H561" s="222"/>
    </row>
    <row r="562" spans="1:8" customFormat="1" ht="14.4" x14ac:dyDescent="0.3">
      <c r="A562" s="160"/>
      <c r="B562" s="217"/>
      <c r="C562" s="218"/>
      <c r="D562" s="219"/>
      <c r="E562" s="219"/>
      <c r="F562" s="220"/>
      <c r="G562" s="227"/>
      <c r="H562" s="222"/>
    </row>
    <row r="563" spans="1:8" customFormat="1" ht="14.4" x14ac:dyDescent="0.3">
      <c r="A563" s="160"/>
      <c r="B563" s="217"/>
      <c r="C563" s="218"/>
      <c r="D563" s="219"/>
      <c r="E563" s="219"/>
      <c r="F563" s="220"/>
      <c r="G563" s="227"/>
      <c r="H563" s="222"/>
    </row>
    <row r="564" spans="1:8" customFormat="1" ht="14.4" x14ac:dyDescent="0.3">
      <c r="A564" s="160"/>
      <c r="B564" s="217"/>
      <c r="C564" s="218"/>
      <c r="D564" s="219"/>
      <c r="E564" s="219"/>
      <c r="F564" s="220"/>
      <c r="G564" s="227"/>
      <c r="H564" s="222"/>
    </row>
    <row r="565" spans="1:8" customFormat="1" ht="14.4" x14ac:dyDescent="0.3">
      <c r="A565" s="160"/>
      <c r="B565" s="217"/>
      <c r="C565" s="218"/>
      <c r="D565" s="219"/>
      <c r="E565" s="219"/>
      <c r="F565" s="220"/>
      <c r="G565" s="227"/>
      <c r="H565" s="222"/>
    </row>
    <row r="566" spans="1:8" customFormat="1" ht="14.4" x14ac:dyDescent="0.3">
      <c r="A566" s="160"/>
      <c r="B566" s="217"/>
      <c r="C566" s="218"/>
      <c r="D566" s="219"/>
      <c r="E566" s="219"/>
      <c r="F566" s="220"/>
      <c r="G566" s="227"/>
      <c r="H566" s="222"/>
    </row>
    <row r="567" spans="1:8" customFormat="1" ht="14.4" x14ac:dyDescent="0.3">
      <c r="A567" s="160"/>
      <c r="B567" s="217"/>
      <c r="C567" s="218"/>
      <c r="D567" s="219"/>
      <c r="E567" s="219"/>
      <c r="F567" s="220"/>
      <c r="G567" s="227"/>
      <c r="H567" s="222"/>
    </row>
    <row r="568" spans="1:8" customFormat="1" ht="14.4" x14ac:dyDescent="0.3">
      <c r="A568" s="160"/>
      <c r="B568" s="217"/>
      <c r="C568" s="218"/>
      <c r="D568" s="219"/>
      <c r="E568" s="219"/>
      <c r="F568" s="220"/>
      <c r="G568" s="227"/>
      <c r="H568" s="222"/>
    </row>
    <row r="569" spans="1:8" customFormat="1" ht="14.4" x14ac:dyDescent="0.3">
      <c r="A569" s="160"/>
      <c r="B569" s="217"/>
      <c r="C569" s="218"/>
      <c r="D569" s="219"/>
      <c r="E569" s="219"/>
      <c r="F569" s="220"/>
      <c r="G569" s="227"/>
      <c r="H569" s="222"/>
    </row>
    <row r="570" spans="1:8" customFormat="1" ht="14.4" x14ac:dyDescent="0.3">
      <c r="A570" s="160"/>
      <c r="B570" s="217"/>
      <c r="C570" s="218"/>
      <c r="D570" s="219"/>
      <c r="E570" s="219"/>
      <c r="F570" s="220"/>
      <c r="G570" s="227"/>
      <c r="H570" s="222"/>
    </row>
    <row r="571" spans="1:8" customFormat="1" ht="14.4" x14ac:dyDescent="0.3">
      <c r="A571" s="160"/>
      <c r="B571" s="217"/>
      <c r="C571" s="218"/>
      <c r="D571" s="219"/>
      <c r="E571" s="219"/>
      <c r="F571" s="220"/>
      <c r="G571" s="227"/>
      <c r="H571" s="222"/>
    </row>
    <row r="572" spans="1:8" customFormat="1" ht="14.4" x14ac:dyDescent="0.3">
      <c r="A572" s="160"/>
      <c r="B572" s="217"/>
      <c r="C572" s="218"/>
      <c r="D572" s="219"/>
      <c r="E572" s="219"/>
      <c r="F572" s="220"/>
      <c r="G572" s="227"/>
      <c r="H572" s="222"/>
    </row>
    <row r="573" spans="1:8" customFormat="1" ht="14.4" x14ac:dyDescent="0.3">
      <c r="A573" s="160"/>
      <c r="B573" s="217"/>
      <c r="C573" s="218"/>
      <c r="D573" s="219"/>
      <c r="E573" s="219"/>
      <c r="F573" s="220"/>
      <c r="G573" s="227"/>
      <c r="H573" s="222"/>
    </row>
    <row r="574" spans="1:8" customFormat="1" ht="14.4" x14ac:dyDescent="0.3">
      <c r="A574" s="160"/>
      <c r="B574" s="217"/>
      <c r="C574" s="218"/>
      <c r="D574" s="219"/>
      <c r="E574" s="219"/>
      <c r="F574" s="220"/>
      <c r="G574" s="227"/>
      <c r="H574" s="222"/>
    </row>
    <row r="575" spans="1:8" customFormat="1" ht="14.4" x14ac:dyDescent="0.3">
      <c r="A575" s="160"/>
      <c r="B575" s="217"/>
      <c r="C575" s="218"/>
      <c r="D575" s="219"/>
      <c r="E575" s="219"/>
      <c r="F575" s="220"/>
      <c r="G575" s="227"/>
      <c r="H575" s="222"/>
    </row>
    <row r="576" spans="1:8" customFormat="1" ht="14.4" x14ac:dyDescent="0.3">
      <c r="A576" s="160"/>
      <c r="B576" s="217"/>
      <c r="C576" s="218"/>
      <c r="D576" s="219"/>
      <c r="E576" s="219"/>
      <c r="F576" s="220"/>
      <c r="G576" s="227"/>
      <c r="H576" s="222"/>
    </row>
    <row r="577" spans="1:8" customFormat="1" ht="14.4" x14ac:dyDescent="0.3">
      <c r="A577" s="160"/>
      <c r="B577" s="217"/>
      <c r="C577" s="218"/>
      <c r="D577" s="219"/>
      <c r="E577" s="219"/>
      <c r="F577" s="220"/>
      <c r="G577" s="227"/>
      <c r="H577" s="222"/>
    </row>
    <row r="578" spans="1:8" customFormat="1" ht="14.4" x14ac:dyDescent="0.3">
      <c r="A578" s="160"/>
      <c r="B578" s="217"/>
      <c r="C578" s="218"/>
      <c r="D578" s="219"/>
      <c r="E578" s="219"/>
      <c r="F578" s="220"/>
      <c r="G578" s="227"/>
      <c r="H578" s="222"/>
    </row>
    <row r="579" spans="1:8" customFormat="1" ht="14.4" x14ac:dyDescent="0.3">
      <c r="A579" s="160"/>
      <c r="B579" s="217"/>
      <c r="C579" s="218"/>
      <c r="D579" s="219"/>
      <c r="E579" s="219"/>
      <c r="F579" s="220"/>
      <c r="G579" s="227"/>
      <c r="H579" s="222"/>
    </row>
    <row r="580" spans="1:8" customFormat="1" ht="14.4" x14ac:dyDescent="0.3">
      <c r="A580" s="160"/>
      <c r="B580" s="217"/>
      <c r="C580" s="218"/>
      <c r="D580" s="219"/>
      <c r="E580" s="219"/>
      <c r="F580" s="220"/>
      <c r="G580" s="227"/>
      <c r="H580" s="222"/>
    </row>
    <row r="581" spans="1:8" customFormat="1" ht="14.4" x14ac:dyDescent="0.3">
      <c r="A581" s="160"/>
      <c r="B581" s="217"/>
      <c r="C581" s="218"/>
      <c r="D581" s="219"/>
      <c r="E581" s="219"/>
      <c r="F581" s="220"/>
      <c r="G581" s="227"/>
      <c r="H581" s="222"/>
    </row>
    <row r="582" spans="1:8" customFormat="1" ht="14.4" x14ac:dyDescent="0.3">
      <c r="A582" s="160"/>
      <c r="B582" s="217"/>
      <c r="C582" s="218"/>
      <c r="D582" s="219"/>
      <c r="E582" s="219"/>
      <c r="F582" s="220"/>
      <c r="G582" s="227"/>
      <c r="H582" s="222"/>
    </row>
    <row r="583" spans="1:8" s="192" customFormat="1" ht="28.5" customHeight="1" x14ac:dyDescent="0.3">
      <c r="A583" s="223" t="s">
        <v>130</v>
      </c>
      <c r="B583" s="223" t="s">
        <v>55</v>
      </c>
      <c r="C583" s="223" t="s">
        <v>258</v>
      </c>
      <c r="D583" s="224" t="s">
        <v>36</v>
      </c>
      <c r="E583" s="225"/>
      <c r="F583" s="226"/>
      <c r="G583" s="226"/>
    </row>
    <row r="584" spans="1:8" customFormat="1" ht="14.4" x14ac:dyDescent="0.3">
      <c r="A584" s="155"/>
      <c r="B584" s="155" t="s">
        <v>56</v>
      </c>
      <c r="C584" s="52" t="s">
        <v>57</v>
      </c>
      <c r="D584" s="53" t="s">
        <v>166</v>
      </c>
      <c r="E584" s="54">
        <v>16.2</v>
      </c>
      <c r="F584" s="55" t="e">
        <f>F525</f>
        <v>#REF!</v>
      </c>
      <c r="G584" s="156" t="e">
        <f>E584*F584</f>
        <v>#REF!</v>
      </c>
    </row>
    <row r="585" spans="1:8" customFormat="1" ht="14.4" x14ac:dyDescent="0.3">
      <c r="A585" s="155"/>
      <c r="B585" s="155" t="s">
        <v>56</v>
      </c>
      <c r="C585" s="52" t="s">
        <v>167</v>
      </c>
      <c r="D585" s="53" t="s">
        <v>166</v>
      </c>
      <c r="E585" s="54">
        <v>26</v>
      </c>
      <c r="F585" s="55" t="e">
        <f>F526</f>
        <v>#REF!</v>
      </c>
      <c r="G585" s="156" t="e">
        <f>E585*F585</f>
        <v>#REF!</v>
      </c>
    </row>
    <row r="586" spans="1:8" customFormat="1" ht="14.4" x14ac:dyDescent="0.3">
      <c r="A586" s="155"/>
      <c r="B586" s="155" t="s">
        <v>56</v>
      </c>
      <c r="C586" s="52" t="s">
        <v>168</v>
      </c>
      <c r="D586" s="53" t="s">
        <v>166</v>
      </c>
      <c r="E586" s="54"/>
      <c r="F586" s="55" t="e">
        <f>F527</f>
        <v>#REF!</v>
      </c>
      <c r="G586" s="156" t="e">
        <f>E586*F586</f>
        <v>#REF!</v>
      </c>
    </row>
    <row r="587" spans="1:8" customFormat="1" ht="14.4" x14ac:dyDescent="0.3">
      <c r="A587" s="155"/>
      <c r="B587" s="157" t="s">
        <v>169</v>
      </c>
      <c r="C587" s="108"/>
      <c r="D587" s="109"/>
      <c r="E587" s="109"/>
      <c r="F587" s="158"/>
      <c r="G587" s="159" t="e">
        <f>SUM(G584:G586)</f>
        <v>#REF!</v>
      </c>
    </row>
    <row r="588" spans="1:8" customFormat="1" ht="14.4" x14ac:dyDescent="0.3">
      <c r="A588" s="155"/>
      <c r="B588" s="155" t="s">
        <v>58</v>
      </c>
      <c r="C588" s="52" t="s">
        <v>246</v>
      </c>
      <c r="D588" s="53" t="s">
        <v>247</v>
      </c>
      <c r="E588" s="54">
        <f>0.05</f>
        <v>0.05</v>
      </c>
      <c r="F588" s="55">
        <v>216000</v>
      </c>
      <c r="G588" s="156">
        <f t="shared" ref="G588:G595" si="15">E588*F588</f>
        <v>10800</v>
      </c>
    </row>
    <row r="589" spans="1:8" customFormat="1" ht="14.4" x14ac:dyDescent="0.3">
      <c r="A589" s="155"/>
      <c r="B589" s="155" t="s">
        <v>58</v>
      </c>
      <c r="C589" s="52" t="s">
        <v>248</v>
      </c>
      <c r="D589" s="53" t="s">
        <v>60</v>
      </c>
      <c r="E589" s="54">
        <v>0.4</v>
      </c>
      <c r="F589" s="55">
        <v>750</v>
      </c>
      <c r="G589" s="156">
        <f t="shared" si="15"/>
        <v>300</v>
      </c>
    </row>
    <row r="590" spans="1:8" customFormat="1" ht="14.4" x14ac:dyDescent="0.3">
      <c r="A590" s="155"/>
      <c r="B590" s="155" t="s">
        <v>58</v>
      </c>
      <c r="C590" s="52" t="s">
        <v>249</v>
      </c>
      <c r="D590" s="53" t="s">
        <v>24</v>
      </c>
      <c r="E590" s="54">
        <v>2.5</v>
      </c>
      <c r="F590" s="55">
        <v>680</v>
      </c>
      <c r="G590" s="156">
        <f t="shared" si="15"/>
        <v>1700</v>
      </c>
    </row>
    <row r="591" spans="1:8" customFormat="1" ht="14.4" x14ac:dyDescent="0.3">
      <c r="A591" s="155"/>
      <c r="B591" s="155" t="s">
        <v>58</v>
      </c>
      <c r="C591" s="52" t="s">
        <v>250</v>
      </c>
      <c r="D591" s="53" t="s">
        <v>24</v>
      </c>
      <c r="E591" s="54">
        <v>0</v>
      </c>
      <c r="F591" s="55">
        <v>1650</v>
      </c>
      <c r="G591" s="156">
        <f t="shared" si="15"/>
        <v>0</v>
      </c>
    </row>
    <row r="592" spans="1:8" customFormat="1" ht="14.4" x14ac:dyDescent="0.3">
      <c r="A592" s="155"/>
      <c r="B592" s="155" t="s">
        <v>58</v>
      </c>
      <c r="C592" s="52" t="s">
        <v>30</v>
      </c>
      <c r="D592" s="53" t="s">
        <v>60</v>
      </c>
      <c r="E592" s="54">
        <v>1.1000000000000001</v>
      </c>
      <c r="F592" s="55">
        <v>750</v>
      </c>
      <c r="G592" s="156">
        <f t="shared" si="15"/>
        <v>825.00000000000011</v>
      </c>
    </row>
    <row r="593" spans="1:10" customFormat="1" ht="14.4" x14ac:dyDescent="0.3">
      <c r="A593" s="155"/>
      <c r="B593" s="155" t="s">
        <v>58</v>
      </c>
      <c r="C593" s="52" t="s">
        <v>251</v>
      </c>
      <c r="D593" s="53" t="s">
        <v>60</v>
      </c>
      <c r="E593" s="54">
        <v>300</v>
      </c>
      <c r="F593" s="55">
        <v>24</v>
      </c>
      <c r="G593" s="156">
        <f t="shared" si="15"/>
        <v>7200</v>
      </c>
    </row>
    <row r="594" spans="1:10" customFormat="1" ht="14.4" x14ac:dyDescent="0.3">
      <c r="A594" s="155"/>
      <c r="B594" s="155" t="s">
        <v>58</v>
      </c>
      <c r="C594" s="52" t="s">
        <v>252</v>
      </c>
      <c r="D594" s="53" t="s">
        <v>36</v>
      </c>
      <c r="E594" s="54">
        <v>0.65</v>
      </c>
      <c r="F594" s="55">
        <v>4000</v>
      </c>
      <c r="G594" s="156">
        <f t="shared" si="15"/>
        <v>2600</v>
      </c>
    </row>
    <row r="595" spans="1:10" customFormat="1" ht="14.4" x14ac:dyDescent="0.3">
      <c r="A595" s="155"/>
      <c r="B595" s="155" t="s">
        <v>58</v>
      </c>
      <c r="C595" s="52" t="s">
        <v>61</v>
      </c>
      <c r="D595" s="53" t="s">
        <v>36</v>
      </c>
      <c r="E595" s="54">
        <v>0.65</v>
      </c>
      <c r="F595" s="55">
        <v>3500</v>
      </c>
      <c r="G595" s="156">
        <f t="shared" si="15"/>
        <v>2275</v>
      </c>
    </row>
    <row r="596" spans="1:10" customFormat="1" ht="14.4" x14ac:dyDescent="0.3">
      <c r="A596" s="160"/>
      <c r="B596" s="157" t="s">
        <v>175</v>
      </c>
      <c r="C596" s="161"/>
      <c r="D596" s="109"/>
      <c r="E596" s="109"/>
      <c r="F596" s="162"/>
      <c r="G596" s="163">
        <f>SUM(G588:G595)</f>
        <v>25700</v>
      </c>
    </row>
    <row r="597" spans="1:10" customFormat="1" ht="14.4" x14ac:dyDescent="0.3">
      <c r="A597" s="160"/>
      <c r="B597" s="160"/>
      <c r="C597" s="164"/>
      <c r="D597" s="165"/>
      <c r="E597" s="166"/>
      <c r="F597" s="163"/>
      <c r="G597" s="163"/>
    </row>
    <row r="598" spans="1:10" customFormat="1" ht="14.4" x14ac:dyDescent="0.3">
      <c r="A598" s="160"/>
      <c r="B598" s="195">
        <v>1</v>
      </c>
      <c r="C598" s="196" t="s">
        <v>66</v>
      </c>
      <c r="D598" s="197" t="s">
        <v>67</v>
      </c>
      <c r="E598" s="197"/>
      <c r="F598" s="198"/>
      <c r="G598" s="199">
        <f>G596</f>
        <v>25700</v>
      </c>
    </row>
    <row r="599" spans="1:10" customFormat="1" ht="14.4" x14ac:dyDescent="0.3">
      <c r="A599" s="160"/>
      <c r="B599" s="200">
        <v>2</v>
      </c>
      <c r="C599" s="201" t="s">
        <v>68</v>
      </c>
      <c r="D599" s="200" t="s">
        <v>69</v>
      </c>
      <c r="E599" s="200"/>
      <c r="F599" s="202"/>
      <c r="G599" s="203" t="e">
        <f>G587</f>
        <v>#REF!</v>
      </c>
    </row>
    <row r="600" spans="1:10" customFormat="1" ht="15" thickBot="1" x14ac:dyDescent="0.35">
      <c r="A600" s="160"/>
      <c r="B600" s="200">
        <v>3</v>
      </c>
      <c r="C600" s="201" t="s">
        <v>70</v>
      </c>
      <c r="D600" s="200" t="s">
        <v>71</v>
      </c>
      <c r="E600" s="200"/>
      <c r="F600" s="202"/>
      <c r="G600" s="204">
        <v>0</v>
      </c>
    </row>
    <row r="601" spans="1:10" customFormat="1" ht="15" thickBot="1" x14ac:dyDescent="0.35">
      <c r="A601" s="160"/>
      <c r="B601" s="205">
        <v>4</v>
      </c>
      <c r="C601" s="206" t="s">
        <v>72</v>
      </c>
      <c r="D601" s="207" t="s">
        <v>73</v>
      </c>
      <c r="E601" s="207"/>
      <c r="F601" s="208"/>
      <c r="G601" s="209" t="e">
        <f>SUM(G598:G600)</f>
        <v>#REF!</v>
      </c>
      <c r="H601" s="210" t="e">
        <f>G601</f>
        <v>#REF!</v>
      </c>
    </row>
    <row r="602" spans="1:10" customFormat="1" ht="15" thickBot="1" x14ac:dyDescent="0.35">
      <c r="A602" s="160"/>
      <c r="B602" s="200">
        <v>5</v>
      </c>
      <c r="C602" s="201" t="s">
        <v>232</v>
      </c>
      <c r="D602" s="200" t="s">
        <v>233</v>
      </c>
      <c r="E602" s="211">
        <v>7.0000000000000007E-2</v>
      </c>
      <c r="F602" s="202"/>
      <c r="G602" s="204" t="e">
        <f>+G601*E602</f>
        <v>#REF!</v>
      </c>
    </row>
    <row r="603" spans="1:10" customFormat="1" ht="14.4" x14ac:dyDescent="0.3">
      <c r="A603" s="160"/>
      <c r="B603" s="212">
        <v>6</v>
      </c>
      <c r="C603" s="213" t="s">
        <v>234</v>
      </c>
      <c r="D603" s="200" t="s">
        <v>74</v>
      </c>
      <c r="E603" s="200"/>
      <c r="F603" s="202"/>
      <c r="G603" s="214" t="e">
        <f>+G602+G601</f>
        <v>#REF!</v>
      </c>
    </row>
    <row r="604" spans="1:10" customFormat="1" ht="14.4" x14ac:dyDescent="0.3">
      <c r="A604" s="160"/>
      <c r="B604" s="200">
        <v>7</v>
      </c>
      <c r="C604" s="201" t="s">
        <v>235</v>
      </c>
      <c r="D604" s="200" t="s">
        <v>236</v>
      </c>
      <c r="E604" s="211">
        <v>0.15</v>
      </c>
      <c r="F604" s="202"/>
      <c r="G604" s="203" t="e">
        <f>+G603*E604</f>
        <v>#REF!</v>
      </c>
    </row>
    <row r="605" spans="1:10" customFormat="1" ht="15" thickBot="1" x14ac:dyDescent="0.35">
      <c r="A605" s="160"/>
      <c r="B605" s="200">
        <v>8</v>
      </c>
      <c r="C605" s="201" t="s">
        <v>75</v>
      </c>
      <c r="D605" s="200" t="s">
        <v>237</v>
      </c>
      <c r="E605" s="211">
        <v>0.1</v>
      </c>
      <c r="F605" s="202"/>
      <c r="G605" s="204" t="e">
        <f>+G603*E605</f>
        <v>#REF!</v>
      </c>
    </row>
    <row r="606" spans="1:10" customFormat="1" ht="14.4" x14ac:dyDescent="0.3">
      <c r="A606" s="160"/>
      <c r="B606" s="212">
        <v>9</v>
      </c>
      <c r="C606" s="213" t="s">
        <v>76</v>
      </c>
      <c r="D606" s="200" t="s">
        <v>238</v>
      </c>
      <c r="E606" s="211"/>
      <c r="F606" s="202"/>
      <c r="G606" s="214" t="e">
        <f>SUM(G603:G605)-G598</f>
        <v>#REF!</v>
      </c>
    </row>
    <row r="607" spans="1:10" customFormat="1" ht="14.4" x14ac:dyDescent="0.3">
      <c r="A607" s="160"/>
      <c r="B607" s="200">
        <v>10</v>
      </c>
      <c r="C607" s="201" t="s">
        <v>119</v>
      </c>
      <c r="D607" s="200" t="s">
        <v>77</v>
      </c>
      <c r="E607" s="211">
        <v>0.03</v>
      </c>
      <c r="F607" s="202"/>
      <c r="G607" s="203" t="e">
        <f>(G599+G602+G604+G605)*E607</f>
        <v>#REF!</v>
      </c>
      <c r="I607" s="215" t="e">
        <f>G607</f>
        <v>#REF!</v>
      </c>
    </row>
    <row r="608" spans="1:10" customFormat="1" ht="15" thickBot="1" x14ac:dyDescent="0.35">
      <c r="A608" s="160"/>
      <c r="B608" s="200">
        <v>11</v>
      </c>
      <c r="C608" s="201" t="s">
        <v>78</v>
      </c>
      <c r="D608" s="200"/>
      <c r="E608" s="211">
        <v>0.35</v>
      </c>
      <c r="F608" s="202"/>
      <c r="G608" s="203" t="e">
        <f>E608*(G605)</f>
        <v>#REF!</v>
      </c>
      <c r="J608" s="216" t="e">
        <f>G608</f>
        <v>#REF!</v>
      </c>
    </row>
    <row r="609" spans="1:7" customFormat="1" ht="15" thickBot="1" x14ac:dyDescent="0.35">
      <c r="A609" s="160"/>
      <c r="B609" s="217">
        <v>12</v>
      </c>
      <c r="C609" s="218" t="s">
        <v>239</v>
      </c>
      <c r="D609" s="219" t="s">
        <v>240</v>
      </c>
      <c r="E609" s="219"/>
      <c r="F609" s="220"/>
      <c r="G609" s="221" t="e">
        <f>SUM(G606:G608)</f>
        <v>#REF!</v>
      </c>
    </row>
    <row r="610" spans="1:7" s="192" customFormat="1" ht="28.5" customHeight="1" x14ac:dyDescent="0.3">
      <c r="A610" s="223" t="s">
        <v>143</v>
      </c>
      <c r="B610" s="223" t="s">
        <v>55</v>
      </c>
      <c r="C610" s="223" t="s">
        <v>258</v>
      </c>
      <c r="D610" s="224" t="s">
        <v>36</v>
      </c>
      <c r="E610" s="225"/>
      <c r="F610" s="226"/>
      <c r="G610" s="226"/>
    </row>
    <row r="611" spans="1:7" customFormat="1" ht="14.4" x14ac:dyDescent="0.3">
      <c r="A611" s="155"/>
      <c r="B611" s="155" t="s">
        <v>56</v>
      </c>
      <c r="C611" s="52" t="s">
        <v>57</v>
      </c>
      <c r="D611" s="53" t="s">
        <v>166</v>
      </c>
      <c r="E611" s="54">
        <f>12.5+4.2</f>
        <v>16.7</v>
      </c>
      <c r="F611" s="55" t="e">
        <f>F584</f>
        <v>#REF!</v>
      </c>
      <c r="G611" s="156" t="e">
        <f>E611*F611</f>
        <v>#REF!</v>
      </c>
    </row>
    <row r="612" spans="1:7" customFormat="1" ht="14.4" x14ac:dyDescent="0.3">
      <c r="A612" s="155"/>
      <c r="B612" s="155" t="s">
        <v>56</v>
      </c>
      <c r="C612" s="52" t="s">
        <v>167</v>
      </c>
      <c r="D612" s="53" t="s">
        <v>166</v>
      </c>
      <c r="E612" s="54">
        <f>25+1.45</f>
        <v>26.45</v>
      </c>
      <c r="F612" s="55" t="e">
        <f>F585</f>
        <v>#REF!</v>
      </c>
      <c r="G612" s="156" t="e">
        <f>E612*F612</f>
        <v>#REF!</v>
      </c>
    </row>
    <row r="613" spans="1:7" customFormat="1" ht="14.4" x14ac:dyDescent="0.3">
      <c r="A613" s="155"/>
      <c r="B613" s="155" t="s">
        <v>56</v>
      </c>
      <c r="C613" s="52" t="s">
        <v>168</v>
      </c>
      <c r="D613" s="53" t="s">
        <v>166</v>
      </c>
      <c r="E613" s="54"/>
      <c r="F613" s="55" t="e">
        <f>F586</f>
        <v>#REF!</v>
      </c>
      <c r="G613" s="156" t="e">
        <f>E613*F613</f>
        <v>#REF!</v>
      </c>
    </row>
    <row r="614" spans="1:7" customFormat="1" ht="14.4" x14ac:dyDescent="0.3">
      <c r="A614" s="155"/>
      <c r="B614" s="157" t="s">
        <v>169</v>
      </c>
      <c r="C614" s="108"/>
      <c r="D614" s="109"/>
      <c r="E614" s="109"/>
      <c r="F614" s="158"/>
      <c r="G614" s="159" t="e">
        <f>SUM(G611:G613)</f>
        <v>#REF!</v>
      </c>
    </row>
    <row r="615" spans="1:7" customFormat="1" ht="14.4" x14ac:dyDescent="0.3">
      <c r="A615" s="155"/>
      <c r="B615" s="155" t="s">
        <v>58</v>
      </c>
      <c r="C615" s="52" t="s">
        <v>246</v>
      </c>
      <c r="D615" s="53" t="s">
        <v>247</v>
      </c>
      <c r="E615" s="54">
        <f>0.05</f>
        <v>0.05</v>
      </c>
      <c r="F615" s="55">
        <v>216000</v>
      </c>
      <c r="G615" s="156">
        <f t="shared" ref="G615:G622" si="16">E615*F615</f>
        <v>10800</v>
      </c>
    </row>
    <row r="616" spans="1:7" customFormat="1" ht="14.4" x14ac:dyDescent="0.3">
      <c r="A616" s="155"/>
      <c r="B616" s="155" t="s">
        <v>58</v>
      </c>
      <c r="C616" s="52" t="s">
        <v>248</v>
      </c>
      <c r="D616" s="53" t="s">
        <v>60</v>
      </c>
      <c r="E616" s="54">
        <v>0.4</v>
      </c>
      <c r="F616" s="55">
        <v>750</v>
      </c>
      <c r="G616" s="156">
        <f t="shared" si="16"/>
        <v>300</v>
      </c>
    </row>
    <row r="617" spans="1:7" customFormat="1" ht="14.4" x14ac:dyDescent="0.3">
      <c r="A617" s="155"/>
      <c r="B617" s="155" t="s">
        <v>58</v>
      </c>
      <c r="C617" s="52" t="s">
        <v>249</v>
      </c>
      <c r="D617" s="53" t="s">
        <v>24</v>
      </c>
      <c r="E617" s="54">
        <v>2.5</v>
      </c>
      <c r="F617" s="55">
        <v>680</v>
      </c>
      <c r="G617" s="156">
        <f t="shared" si="16"/>
        <v>1700</v>
      </c>
    </row>
    <row r="618" spans="1:7" customFormat="1" ht="14.4" x14ac:dyDescent="0.3">
      <c r="A618" s="155"/>
      <c r="B618" s="155" t="s">
        <v>58</v>
      </c>
      <c r="C618" s="52" t="s">
        <v>250</v>
      </c>
      <c r="D618" s="53" t="s">
        <v>24</v>
      </c>
      <c r="E618" s="54">
        <v>0</v>
      </c>
      <c r="F618" s="55">
        <v>1650</v>
      </c>
      <c r="G618" s="156">
        <f t="shared" si="16"/>
        <v>0</v>
      </c>
    </row>
    <row r="619" spans="1:7" customFormat="1" ht="14.4" x14ac:dyDescent="0.3">
      <c r="A619" s="155"/>
      <c r="B619" s="155" t="s">
        <v>58</v>
      </c>
      <c r="C619" s="52" t="s">
        <v>30</v>
      </c>
      <c r="D619" s="53" t="s">
        <v>60</v>
      </c>
      <c r="E619" s="54">
        <v>1.1000000000000001</v>
      </c>
      <c r="F619" s="55">
        <v>750</v>
      </c>
      <c r="G619" s="156">
        <f t="shared" si="16"/>
        <v>825.00000000000011</v>
      </c>
    </row>
    <row r="620" spans="1:7" customFormat="1" ht="14.4" x14ac:dyDescent="0.3">
      <c r="A620" s="155"/>
      <c r="B620" s="155" t="s">
        <v>58</v>
      </c>
      <c r="C620" s="52" t="s">
        <v>251</v>
      </c>
      <c r="D620" s="53" t="s">
        <v>60</v>
      </c>
      <c r="E620" s="54">
        <v>300</v>
      </c>
      <c r="F620" s="55">
        <v>24</v>
      </c>
      <c r="G620" s="156">
        <f t="shared" si="16"/>
        <v>7200</v>
      </c>
    </row>
    <row r="621" spans="1:7" customFormat="1" ht="14.4" x14ac:dyDescent="0.3">
      <c r="A621" s="155"/>
      <c r="B621" s="155" t="s">
        <v>58</v>
      </c>
      <c r="C621" s="52" t="s">
        <v>252</v>
      </c>
      <c r="D621" s="53" t="s">
        <v>36</v>
      </c>
      <c r="E621" s="54">
        <v>0.65</v>
      </c>
      <c r="F621" s="55">
        <v>4000</v>
      </c>
      <c r="G621" s="156">
        <f t="shared" si="16"/>
        <v>2600</v>
      </c>
    </row>
    <row r="622" spans="1:7" customFormat="1" ht="14.4" x14ac:dyDescent="0.3">
      <c r="A622" s="155"/>
      <c r="B622" s="155" t="s">
        <v>58</v>
      </c>
      <c r="C622" s="52" t="s">
        <v>61</v>
      </c>
      <c r="D622" s="53" t="s">
        <v>36</v>
      </c>
      <c r="E622" s="54">
        <v>0.65</v>
      </c>
      <c r="F622" s="55">
        <v>3500</v>
      </c>
      <c r="G622" s="156">
        <f t="shared" si="16"/>
        <v>2275</v>
      </c>
    </row>
    <row r="623" spans="1:7" customFormat="1" ht="14.4" x14ac:dyDescent="0.3">
      <c r="A623" s="160"/>
      <c r="B623" s="157" t="s">
        <v>175</v>
      </c>
      <c r="C623" s="161"/>
      <c r="D623" s="109"/>
      <c r="E623" s="109"/>
      <c r="F623" s="162"/>
      <c r="G623" s="163">
        <f>SUM(G615:G622)</f>
        <v>25700</v>
      </c>
    </row>
    <row r="624" spans="1:7" customFormat="1" ht="14.4" x14ac:dyDescent="0.3">
      <c r="A624" s="160"/>
      <c r="B624" s="160"/>
      <c r="C624" s="164"/>
      <c r="D624" s="165"/>
      <c r="E624" s="166"/>
      <c r="F624" s="163"/>
      <c r="G624" s="163"/>
    </row>
    <row r="625" spans="1:10" customFormat="1" ht="14.4" x14ac:dyDescent="0.3">
      <c r="A625" s="160"/>
      <c r="B625" s="195">
        <v>1</v>
      </c>
      <c r="C625" s="196" t="s">
        <v>66</v>
      </c>
      <c r="D625" s="197" t="s">
        <v>67</v>
      </c>
      <c r="E625" s="197"/>
      <c r="F625" s="198"/>
      <c r="G625" s="199">
        <f>G623</f>
        <v>25700</v>
      </c>
    </row>
    <row r="626" spans="1:10" customFormat="1" ht="14.4" x14ac:dyDescent="0.3">
      <c r="A626" s="160"/>
      <c r="B626" s="200">
        <v>2</v>
      </c>
      <c r="C626" s="201" t="s">
        <v>68</v>
      </c>
      <c r="D626" s="200" t="s">
        <v>69</v>
      </c>
      <c r="E626" s="200"/>
      <c r="F626" s="202"/>
      <c r="G626" s="203" t="e">
        <f>G614</f>
        <v>#REF!</v>
      </c>
    </row>
    <row r="627" spans="1:10" customFormat="1" ht="15" thickBot="1" x14ac:dyDescent="0.35">
      <c r="A627" s="160"/>
      <c r="B627" s="200">
        <v>3</v>
      </c>
      <c r="C627" s="201" t="s">
        <v>70</v>
      </c>
      <c r="D627" s="200" t="s">
        <v>71</v>
      </c>
      <c r="E627" s="200"/>
      <c r="F627" s="202"/>
      <c r="G627" s="204">
        <v>0</v>
      </c>
    </row>
    <row r="628" spans="1:10" customFormat="1" ht="15" thickBot="1" x14ac:dyDescent="0.35">
      <c r="A628" s="160"/>
      <c r="B628" s="205">
        <v>4</v>
      </c>
      <c r="C628" s="206" t="s">
        <v>72</v>
      </c>
      <c r="D628" s="207" t="s">
        <v>73</v>
      </c>
      <c r="E628" s="207"/>
      <c r="F628" s="208"/>
      <c r="G628" s="209" t="e">
        <f>SUM(G625:G627)</f>
        <v>#REF!</v>
      </c>
      <c r="H628" s="210" t="e">
        <f>G628</f>
        <v>#REF!</v>
      </c>
    </row>
    <row r="629" spans="1:10" customFormat="1" ht="15" thickBot="1" x14ac:dyDescent="0.35">
      <c r="A629" s="160"/>
      <c r="B629" s="200">
        <v>5</v>
      </c>
      <c r="C629" s="201" t="s">
        <v>232</v>
      </c>
      <c r="D629" s="200" t="s">
        <v>233</v>
      </c>
      <c r="E629" s="211">
        <v>7.0000000000000007E-2</v>
      </c>
      <c r="F629" s="202"/>
      <c r="G629" s="204" t="e">
        <f>+G628*E629</f>
        <v>#REF!</v>
      </c>
    </row>
    <row r="630" spans="1:10" customFormat="1" ht="14.4" x14ac:dyDescent="0.3">
      <c r="A630" s="160"/>
      <c r="B630" s="212">
        <v>6</v>
      </c>
      <c r="C630" s="213" t="s">
        <v>234</v>
      </c>
      <c r="D630" s="200" t="s">
        <v>74</v>
      </c>
      <c r="E630" s="200"/>
      <c r="F630" s="202"/>
      <c r="G630" s="214" t="e">
        <f>+G629+G628</f>
        <v>#REF!</v>
      </c>
    </row>
    <row r="631" spans="1:10" customFormat="1" ht="14.4" x14ac:dyDescent="0.3">
      <c r="A631" s="160"/>
      <c r="B631" s="200">
        <v>7</v>
      </c>
      <c r="C631" s="201" t="s">
        <v>235</v>
      </c>
      <c r="D631" s="200" t="s">
        <v>236</v>
      </c>
      <c r="E631" s="211">
        <v>0.15</v>
      </c>
      <c r="F631" s="202"/>
      <c r="G631" s="203" t="e">
        <f>+G630*E631</f>
        <v>#REF!</v>
      </c>
    </row>
    <row r="632" spans="1:10" customFormat="1" ht="15" thickBot="1" x14ac:dyDescent="0.35">
      <c r="A632" s="160"/>
      <c r="B632" s="200">
        <v>8</v>
      </c>
      <c r="C632" s="201" t="s">
        <v>75</v>
      </c>
      <c r="D632" s="200" t="s">
        <v>237</v>
      </c>
      <c r="E632" s="211">
        <v>0.1</v>
      </c>
      <c r="F632" s="202"/>
      <c r="G632" s="204" t="e">
        <f>+G630*E632</f>
        <v>#REF!</v>
      </c>
    </row>
    <row r="633" spans="1:10" customFormat="1" ht="14.4" x14ac:dyDescent="0.3">
      <c r="A633" s="160"/>
      <c r="B633" s="212">
        <v>9</v>
      </c>
      <c r="C633" s="213" t="s">
        <v>76</v>
      </c>
      <c r="D633" s="200" t="s">
        <v>238</v>
      </c>
      <c r="E633" s="211"/>
      <c r="F633" s="202"/>
      <c r="G633" s="214" t="e">
        <f>SUM(G630:G632)-G625</f>
        <v>#REF!</v>
      </c>
    </row>
    <row r="634" spans="1:10" customFormat="1" ht="14.4" x14ac:dyDescent="0.3">
      <c r="A634" s="160"/>
      <c r="B634" s="200">
        <v>10</v>
      </c>
      <c r="C634" s="201" t="s">
        <v>119</v>
      </c>
      <c r="D634" s="200" t="s">
        <v>77</v>
      </c>
      <c r="E634" s="211">
        <v>0.03</v>
      </c>
      <c r="F634" s="202"/>
      <c r="G634" s="203" t="e">
        <f>(G626+G629+G631+G632)*E634</f>
        <v>#REF!</v>
      </c>
      <c r="I634" s="215" t="e">
        <f>G634</f>
        <v>#REF!</v>
      </c>
    </row>
    <row r="635" spans="1:10" customFormat="1" ht="15" thickBot="1" x14ac:dyDescent="0.35">
      <c r="A635" s="160"/>
      <c r="B635" s="200">
        <v>11</v>
      </c>
      <c r="C635" s="201" t="s">
        <v>78</v>
      </c>
      <c r="D635" s="200"/>
      <c r="E635" s="211">
        <v>0.35</v>
      </c>
      <c r="F635" s="202"/>
      <c r="G635" s="203" t="e">
        <f>E635*(G632)</f>
        <v>#REF!</v>
      </c>
      <c r="J635" s="216" t="e">
        <f>G635</f>
        <v>#REF!</v>
      </c>
    </row>
    <row r="636" spans="1:10" customFormat="1" ht="15" thickBot="1" x14ac:dyDescent="0.35">
      <c r="A636" s="160"/>
      <c r="B636" s="217">
        <v>12</v>
      </c>
      <c r="C636" s="218" t="s">
        <v>239</v>
      </c>
      <c r="D636" s="219" t="s">
        <v>240</v>
      </c>
      <c r="E636" s="219"/>
      <c r="F636" s="220"/>
      <c r="G636" s="221" t="e">
        <f>SUM(G633:G635)</f>
        <v>#REF!</v>
      </c>
    </row>
    <row r="637" spans="1:10" s="168" customFormat="1" ht="28.5" customHeight="1" x14ac:dyDescent="0.3">
      <c r="A637" s="188" t="s">
        <v>259</v>
      </c>
      <c r="B637" s="188" t="s">
        <v>226</v>
      </c>
      <c r="C637" s="188" t="s">
        <v>260</v>
      </c>
      <c r="D637" s="189" t="s">
        <v>227</v>
      </c>
      <c r="E637" s="190"/>
      <c r="F637" s="191"/>
      <c r="G637" s="191"/>
    </row>
    <row r="638" spans="1:10" s="192" customFormat="1" ht="28.5" customHeight="1" x14ac:dyDescent="0.3">
      <c r="A638" s="153" t="s">
        <v>261</v>
      </c>
      <c r="B638" s="153" t="s">
        <v>55</v>
      </c>
      <c r="C638" s="153" t="s">
        <v>262</v>
      </c>
      <c r="D638" s="154" t="s">
        <v>24</v>
      </c>
      <c r="E638" s="153"/>
      <c r="F638" s="153"/>
      <c r="G638" s="153"/>
    </row>
    <row r="639" spans="1:10" customFormat="1" ht="14.4" x14ac:dyDescent="0.3">
      <c r="A639" s="155"/>
      <c r="B639" s="155" t="s">
        <v>56</v>
      </c>
      <c r="C639" s="52" t="s">
        <v>57</v>
      </c>
      <c r="D639" s="53" t="s">
        <v>166</v>
      </c>
      <c r="E639" s="54">
        <v>0.75</v>
      </c>
      <c r="F639" s="55" t="e">
        <f>F611</f>
        <v>#REF!</v>
      </c>
      <c r="G639" s="156" t="e">
        <f>E639*F639</f>
        <v>#REF!</v>
      </c>
    </row>
    <row r="640" spans="1:10" customFormat="1" ht="14.4" x14ac:dyDescent="0.3">
      <c r="A640" s="155"/>
      <c r="B640" s="155" t="s">
        <v>56</v>
      </c>
      <c r="C640" s="52" t="s">
        <v>167</v>
      </c>
      <c r="D640" s="53" t="s">
        <v>166</v>
      </c>
      <c r="E640" s="54">
        <v>0.65</v>
      </c>
      <c r="F640" s="55" t="e">
        <f>F612</f>
        <v>#REF!</v>
      </c>
      <c r="G640" s="156" t="e">
        <f>E640*F640</f>
        <v>#REF!</v>
      </c>
    </row>
    <row r="641" spans="1:8" customFormat="1" ht="14.4" x14ac:dyDescent="0.3">
      <c r="A641" s="155"/>
      <c r="B641" s="155" t="s">
        <v>56</v>
      </c>
      <c r="C641" s="52" t="s">
        <v>168</v>
      </c>
      <c r="D641" s="53" t="s">
        <v>166</v>
      </c>
      <c r="E641" s="54"/>
      <c r="F641" s="55" t="e">
        <f>F613</f>
        <v>#REF!</v>
      </c>
      <c r="G641" s="156" t="e">
        <f>E641*F641</f>
        <v>#REF!</v>
      </c>
    </row>
    <row r="642" spans="1:8" customFormat="1" ht="14.4" x14ac:dyDescent="0.3">
      <c r="A642" s="155"/>
      <c r="B642" s="157" t="s">
        <v>169</v>
      </c>
      <c r="C642" s="108"/>
      <c r="D642" s="109"/>
      <c r="E642" s="109"/>
      <c r="F642" s="158"/>
      <c r="G642" s="159" t="e">
        <f>SUM(G639:G641)</f>
        <v>#REF!</v>
      </c>
    </row>
    <row r="643" spans="1:8" customFormat="1" ht="14.4" x14ac:dyDescent="0.3">
      <c r="A643" s="155"/>
      <c r="B643" s="155" t="s">
        <v>58</v>
      </c>
      <c r="C643" s="52" t="s">
        <v>263</v>
      </c>
      <c r="D643" s="53" t="s">
        <v>60</v>
      </c>
      <c r="E643" s="54">
        <v>7.9</v>
      </c>
      <c r="F643" s="55">
        <v>18</v>
      </c>
      <c r="G643" s="156">
        <f>E643*F643</f>
        <v>142.20000000000002</v>
      </c>
    </row>
    <row r="644" spans="1:8" customFormat="1" ht="14.4" x14ac:dyDescent="0.3">
      <c r="A644" s="155"/>
      <c r="B644" s="155" t="s">
        <v>58</v>
      </c>
      <c r="C644" s="52" t="s">
        <v>171</v>
      </c>
      <c r="D644" s="53" t="s">
        <v>36</v>
      </c>
      <c r="E644" s="54">
        <v>0.03</v>
      </c>
      <c r="F644" s="55">
        <v>3500</v>
      </c>
      <c r="G644" s="156">
        <f>E644*F644</f>
        <v>105</v>
      </c>
    </row>
    <row r="645" spans="1:8" customFormat="1" ht="14.4" x14ac:dyDescent="0.3">
      <c r="A645" s="155"/>
      <c r="B645" s="155" t="s">
        <v>58</v>
      </c>
      <c r="C645" s="52" t="s">
        <v>172</v>
      </c>
      <c r="D645" s="53" t="s">
        <v>60</v>
      </c>
      <c r="E645" s="54">
        <v>0.2</v>
      </c>
      <c r="F645" s="55">
        <v>216</v>
      </c>
      <c r="G645" s="156">
        <f>E645*F645</f>
        <v>43.2</v>
      </c>
    </row>
    <row r="646" spans="1:8" customFormat="1" ht="14.4" x14ac:dyDescent="0.3">
      <c r="A646" s="155"/>
      <c r="B646" s="155" t="s">
        <v>58</v>
      </c>
      <c r="C646" s="52" t="s">
        <v>264</v>
      </c>
      <c r="D646" s="53" t="s">
        <v>174</v>
      </c>
      <c r="E646" s="54">
        <v>15</v>
      </c>
      <c r="F646" s="55">
        <v>100</v>
      </c>
      <c r="G646" s="156">
        <f>E646*F646</f>
        <v>1500</v>
      </c>
    </row>
    <row r="647" spans="1:8" customFormat="1" ht="14.4" x14ac:dyDescent="0.3">
      <c r="A647" s="160"/>
      <c r="B647" s="157" t="s">
        <v>175</v>
      </c>
      <c r="C647" s="161"/>
      <c r="D647" s="109"/>
      <c r="E647" s="109"/>
      <c r="F647" s="162"/>
      <c r="G647" s="163">
        <f>SUM(G643:G646)</f>
        <v>1790.4</v>
      </c>
    </row>
    <row r="648" spans="1:8" customFormat="1" ht="14.4" x14ac:dyDescent="0.3">
      <c r="A648" s="160"/>
      <c r="B648" s="160"/>
      <c r="C648" s="164"/>
      <c r="D648" s="165"/>
      <c r="E648" s="166"/>
      <c r="F648" s="163"/>
      <c r="G648" s="163"/>
    </row>
    <row r="649" spans="1:8" customFormat="1" ht="14.4" x14ac:dyDescent="0.3">
      <c r="A649" s="160"/>
      <c r="B649" s="195">
        <v>1</v>
      </c>
      <c r="C649" s="196" t="s">
        <v>66</v>
      </c>
      <c r="D649" s="197" t="s">
        <v>67</v>
      </c>
      <c r="E649" s="197"/>
      <c r="F649" s="198"/>
      <c r="G649" s="199">
        <f>G647</f>
        <v>1790.4</v>
      </c>
    </row>
    <row r="650" spans="1:8" customFormat="1" ht="14.4" x14ac:dyDescent="0.3">
      <c r="A650" s="160"/>
      <c r="B650" s="200">
        <v>2</v>
      </c>
      <c r="C650" s="201" t="s">
        <v>68</v>
      </c>
      <c r="D650" s="200" t="s">
        <v>69</v>
      </c>
      <c r="E650" s="200"/>
      <c r="F650" s="202"/>
      <c r="G650" s="203" t="e">
        <f>G642</f>
        <v>#REF!</v>
      </c>
    </row>
    <row r="651" spans="1:8" customFormat="1" ht="15" thickBot="1" x14ac:dyDescent="0.35">
      <c r="A651" s="160"/>
      <c r="B651" s="200">
        <v>3</v>
      </c>
      <c r="C651" s="201" t="s">
        <v>70</v>
      </c>
      <c r="D651" s="200" t="s">
        <v>71</v>
      </c>
      <c r="E651" s="200"/>
      <c r="F651" s="202"/>
      <c r="G651" s="204"/>
    </row>
    <row r="652" spans="1:8" customFormat="1" ht="15" thickBot="1" x14ac:dyDescent="0.35">
      <c r="A652" s="160"/>
      <c r="B652" s="205">
        <v>4</v>
      </c>
      <c r="C652" s="206" t="s">
        <v>72</v>
      </c>
      <c r="D652" s="207" t="s">
        <v>73</v>
      </c>
      <c r="E652" s="207"/>
      <c r="F652" s="208"/>
      <c r="G652" s="209" t="e">
        <f>SUM(G649:G651)</f>
        <v>#REF!</v>
      </c>
      <c r="H652" s="210" t="e">
        <f>G652</f>
        <v>#REF!</v>
      </c>
    </row>
    <row r="653" spans="1:8" customFormat="1" ht="15" thickBot="1" x14ac:dyDescent="0.35">
      <c r="A653" s="160"/>
      <c r="B653" s="200">
        <v>5</v>
      </c>
      <c r="C653" s="201" t="s">
        <v>232</v>
      </c>
      <c r="D653" s="200" t="s">
        <v>233</v>
      </c>
      <c r="E653" s="211">
        <v>7.0000000000000007E-2</v>
      </c>
      <c r="F653" s="202"/>
      <c r="G653" s="204" t="e">
        <f>+G652*E653</f>
        <v>#REF!</v>
      </c>
    </row>
    <row r="654" spans="1:8" customFormat="1" ht="14.4" x14ac:dyDescent="0.3">
      <c r="A654" s="160"/>
      <c r="B654" s="212">
        <v>6</v>
      </c>
      <c r="C654" s="213" t="s">
        <v>234</v>
      </c>
      <c r="D654" s="200" t="s">
        <v>74</v>
      </c>
      <c r="E654" s="200"/>
      <c r="F654" s="202"/>
      <c r="G654" s="214" t="e">
        <f>+G653+G652</f>
        <v>#REF!</v>
      </c>
    </row>
    <row r="655" spans="1:8" customFormat="1" ht="14.4" x14ac:dyDescent="0.3">
      <c r="A655" s="160"/>
      <c r="B655" s="200">
        <v>7</v>
      </c>
      <c r="C655" s="201" t="s">
        <v>235</v>
      </c>
      <c r="D655" s="200" t="s">
        <v>236</v>
      </c>
      <c r="E655" s="211">
        <v>0.15</v>
      </c>
      <c r="F655" s="202"/>
      <c r="G655" s="203" t="e">
        <f>+G654*E655</f>
        <v>#REF!</v>
      </c>
    </row>
    <row r="656" spans="1:8" customFormat="1" ht="15" thickBot="1" x14ac:dyDescent="0.35">
      <c r="A656" s="160"/>
      <c r="B656" s="200">
        <v>8</v>
      </c>
      <c r="C656" s="201" t="s">
        <v>75</v>
      </c>
      <c r="D656" s="200" t="s">
        <v>237</v>
      </c>
      <c r="E656" s="211">
        <v>0.1</v>
      </c>
      <c r="F656" s="202"/>
      <c r="G656" s="204" t="e">
        <f>+G654*E656</f>
        <v>#REF!</v>
      </c>
    </row>
    <row r="657" spans="1:10" customFormat="1" ht="14.4" x14ac:dyDescent="0.3">
      <c r="A657" s="160"/>
      <c r="B657" s="212">
        <v>9</v>
      </c>
      <c r="C657" s="213" t="s">
        <v>76</v>
      </c>
      <c r="D657" s="200" t="s">
        <v>238</v>
      </c>
      <c r="E657" s="211"/>
      <c r="F657" s="202"/>
      <c r="G657" s="214" t="e">
        <f>SUM(G654:G656)-G649</f>
        <v>#REF!</v>
      </c>
    </row>
    <row r="658" spans="1:10" customFormat="1" ht="14.4" x14ac:dyDescent="0.3">
      <c r="A658" s="160"/>
      <c r="B658" s="200">
        <v>10</v>
      </c>
      <c r="C658" s="201" t="s">
        <v>119</v>
      </c>
      <c r="D658" s="200" t="s">
        <v>77</v>
      </c>
      <c r="E658" s="211">
        <v>0.03</v>
      </c>
      <c r="F658" s="202"/>
      <c r="G658" s="203" t="e">
        <f>(G650+G653+G655+G656)*E658</f>
        <v>#REF!</v>
      </c>
      <c r="I658" s="215" t="e">
        <f>G658</f>
        <v>#REF!</v>
      </c>
    </row>
    <row r="659" spans="1:10" customFormat="1" ht="15" thickBot="1" x14ac:dyDescent="0.35">
      <c r="A659" s="160"/>
      <c r="B659" s="200">
        <v>11</v>
      </c>
      <c r="C659" s="201" t="s">
        <v>78</v>
      </c>
      <c r="D659" s="200"/>
      <c r="E659" s="211">
        <v>0.35</v>
      </c>
      <c r="F659" s="202"/>
      <c r="G659" s="203" t="e">
        <f>E659*(G656)</f>
        <v>#REF!</v>
      </c>
      <c r="J659" s="216" t="e">
        <f>G659</f>
        <v>#REF!</v>
      </c>
    </row>
    <row r="660" spans="1:10" customFormat="1" ht="15" thickBot="1" x14ac:dyDescent="0.35">
      <c r="A660" s="160"/>
      <c r="B660" s="217">
        <v>12</v>
      </c>
      <c r="C660" s="218" t="s">
        <v>239</v>
      </c>
      <c r="D660" s="219" t="s">
        <v>240</v>
      </c>
      <c r="E660" s="219"/>
      <c r="F660" s="220"/>
      <c r="G660" s="221" t="e">
        <f>SUM(G657:G659)</f>
        <v>#REF!</v>
      </c>
    </row>
    <row r="661" spans="1:10" s="192" customFormat="1" ht="28.5" customHeight="1" x14ac:dyDescent="0.3">
      <c r="A661" s="153" t="s">
        <v>164</v>
      </c>
      <c r="B661" s="153" t="s">
        <v>55</v>
      </c>
      <c r="C661" s="153" t="s">
        <v>165</v>
      </c>
      <c r="D661" s="154" t="s">
        <v>24</v>
      </c>
      <c r="E661" s="153"/>
      <c r="F661" s="153"/>
      <c r="G661" s="153"/>
    </row>
    <row r="662" spans="1:10" customFormat="1" ht="14.4" x14ac:dyDescent="0.3">
      <c r="A662" s="155"/>
      <c r="B662" s="155" t="s">
        <v>56</v>
      </c>
      <c r="C662" s="52" t="s">
        <v>57</v>
      </c>
      <c r="D662" s="53" t="s">
        <v>166</v>
      </c>
      <c r="E662" s="54">
        <v>0.7</v>
      </c>
      <c r="F662" s="55" t="e">
        <f>F639</f>
        <v>#REF!</v>
      </c>
      <c r="G662" s="156" t="e">
        <f>E662*F662</f>
        <v>#REF!</v>
      </c>
    </row>
    <row r="663" spans="1:10" customFormat="1" ht="14.4" x14ac:dyDescent="0.3">
      <c r="A663" s="155"/>
      <c r="B663" s="155" t="s">
        <v>56</v>
      </c>
      <c r="C663" s="52" t="s">
        <v>167</v>
      </c>
      <c r="D663" s="53" t="s">
        <v>166</v>
      </c>
      <c r="E663" s="54">
        <v>0.75</v>
      </c>
      <c r="F663" s="55" t="e">
        <f>F640</f>
        <v>#REF!</v>
      </c>
      <c r="G663" s="156" t="e">
        <f>E663*F663</f>
        <v>#REF!</v>
      </c>
    </row>
    <row r="664" spans="1:10" customFormat="1" ht="14.4" x14ac:dyDescent="0.3">
      <c r="A664" s="155"/>
      <c r="B664" s="155" t="s">
        <v>56</v>
      </c>
      <c r="C664" s="52" t="s">
        <v>168</v>
      </c>
      <c r="D664" s="53" t="s">
        <v>166</v>
      </c>
      <c r="E664" s="54"/>
      <c r="F664" s="55" t="e">
        <f>F641</f>
        <v>#REF!</v>
      </c>
      <c r="G664" s="156"/>
    </row>
    <row r="665" spans="1:10" customFormat="1" ht="14.4" x14ac:dyDescent="0.3">
      <c r="A665" s="155"/>
      <c r="B665" s="157" t="s">
        <v>169</v>
      </c>
      <c r="C665" s="108"/>
      <c r="D665" s="109"/>
      <c r="E665" s="109"/>
      <c r="F665" s="158"/>
      <c r="G665" s="159" t="e">
        <f>SUM(G662:G664)</f>
        <v>#REF!</v>
      </c>
    </row>
    <row r="666" spans="1:10" customFormat="1" ht="14.4" x14ac:dyDescent="0.3">
      <c r="A666" s="155"/>
      <c r="B666" s="155" t="s">
        <v>58</v>
      </c>
      <c r="C666" s="52" t="s">
        <v>263</v>
      </c>
      <c r="D666" s="53" t="s">
        <v>60</v>
      </c>
      <c r="E666" s="54">
        <v>3.09</v>
      </c>
      <c r="F666" s="55">
        <v>18</v>
      </c>
      <c r="G666" s="156">
        <f>E666*F666</f>
        <v>55.62</v>
      </c>
    </row>
    <row r="667" spans="1:10" customFormat="1" ht="14.4" x14ac:dyDescent="0.3">
      <c r="A667" s="155"/>
      <c r="B667" s="155" t="s">
        <v>58</v>
      </c>
      <c r="C667" s="52" t="s">
        <v>171</v>
      </c>
      <c r="D667" s="53" t="s">
        <v>36</v>
      </c>
      <c r="E667" s="54">
        <v>0.03</v>
      </c>
      <c r="F667" s="55">
        <v>3500</v>
      </c>
      <c r="G667" s="156">
        <f>E667*F667</f>
        <v>105</v>
      </c>
    </row>
    <row r="668" spans="1:10" customFormat="1" ht="14.4" x14ac:dyDescent="0.3">
      <c r="A668" s="155"/>
      <c r="B668" s="155" t="s">
        <v>58</v>
      </c>
      <c r="C668" s="52" t="s">
        <v>172</v>
      </c>
      <c r="D668" s="53" t="s">
        <v>60</v>
      </c>
      <c r="E668" s="54">
        <v>4</v>
      </c>
      <c r="F668" s="55">
        <v>216</v>
      </c>
      <c r="G668" s="156">
        <f>E668*F668</f>
        <v>864</v>
      </c>
    </row>
    <row r="669" spans="1:10" customFormat="1" ht="14.4" x14ac:dyDescent="0.3">
      <c r="A669" s="155"/>
      <c r="B669" s="155" t="s">
        <v>58</v>
      </c>
      <c r="C669" s="52" t="s">
        <v>173</v>
      </c>
      <c r="D669" s="53" t="s">
        <v>174</v>
      </c>
      <c r="E669" s="54">
        <v>12.5</v>
      </c>
      <c r="F669" s="55">
        <v>200</v>
      </c>
      <c r="G669" s="156">
        <f>E669*F669</f>
        <v>2500</v>
      </c>
    </row>
    <row r="670" spans="1:10" customFormat="1" ht="14.4" x14ac:dyDescent="0.3">
      <c r="A670" s="160"/>
      <c r="B670" s="157" t="s">
        <v>175</v>
      </c>
      <c r="C670" s="161"/>
      <c r="D670" s="109"/>
      <c r="E670" s="109"/>
      <c r="F670" s="162"/>
      <c r="G670" s="163">
        <f>SUM(G666:G669)</f>
        <v>3524.62</v>
      </c>
    </row>
    <row r="671" spans="1:10" customFormat="1" ht="14.4" x14ac:dyDescent="0.3">
      <c r="A671" s="160"/>
      <c r="B671" s="160"/>
      <c r="C671" s="164"/>
      <c r="D671" s="165"/>
      <c r="E671" s="166"/>
      <c r="F671" s="163"/>
      <c r="G671" s="163"/>
    </row>
    <row r="672" spans="1:10" customFormat="1" ht="14.4" x14ac:dyDescent="0.3">
      <c r="A672" s="160"/>
      <c r="B672" s="195">
        <v>1</v>
      </c>
      <c r="C672" s="196" t="s">
        <v>66</v>
      </c>
      <c r="D672" s="197" t="s">
        <v>67</v>
      </c>
      <c r="E672" s="197"/>
      <c r="F672" s="198"/>
      <c r="G672" s="199">
        <f>G670</f>
        <v>3524.62</v>
      </c>
    </row>
    <row r="673" spans="1:10" customFormat="1" ht="14.4" x14ac:dyDescent="0.3">
      <c r="A673" s="160"/>
      <c r="B673" s="200">
        <v>2</v>
      </c>
      <c r="C673" s="201" t="s">
        <v>68</v>
      </c>
      <c r="D673" s="200" t="s">
        <v>69</v>
      </c>
      <c r="E673" s="200"/>
      <c r="F673" s="202"/>
      <c r="G673" s="203" t="e">
        <f>G665</f>
        <v>#REF!</v>
      </c>
    </row>
    <row r="674" spans="1:10" customFormat="1" ht="15" thickBot="1" x14ac:dyDescent="0.35">
      <c r="A674" s="160"/>
      <c r="B674" s="200">
        <v>3</v>
      </c>
      <c r="C674" s="201" t="s">
        <v>70</v>
      </c>
      <c r="D674" s="200" t="s">
        <v>71</v>
      </c>
      <c r="E674" s="200"/>
      <c r="F674" s="202"/>
      <c r="G674" s="204"/>
    </row>
    <row r="675" spans="1:10" customFormat="1" ht="15" thickBot="1" x14ac:dyDescent="0.35">
      <c r="A675" s="160"/>
      <c r="B675" s="205">
        <v>4</v>
      </c>
      <c r="C675" s="206" t="s">
        <v>72</v>
      </c>
      <c r="D675" s="207" t="s">
        <v>73</v>
      </c>
      <c r="E675" s="207"/>
      <c r="F675" s="208"/>
      <c r="G675" s="209" t="e">
        <f>SUM(G672:G674)</f>
        <v>#REF!</v>
      </c>
      <c r="H675" s="210" t="e">
        <f>G675</f>
        <v>#REF!</v>
      </c>
    </row>
    <row r="676" spans="1:10" customFormat="1" ht="15" thickBot="1" x14ac:dyDescent="0.35">
      <c r="A676" s="160"/>
      <c r="B676" s="200">
        <v>5</v>
      </c>
      <c r="C676" s="201" t="s">
        <v>232</v>
      </c>
      <c r="D676" s="200" t="s">
        <v>233</v>
      </c>
      <c r="E676" s="211">
        <v>7.0000000000000007E-2</v>
      </c>
      <c r="F676" s="202"/>
      <c r="G676" s="204" t="e">
        <f>+G675*E676</f>
        <v>#REF!</v>
      </c>
    </row>
    <row r="677" spans="1:10" customFormat="1" ht="14.4" x14ac:dyDescent="0.3">
      <c r="A677" s="160"/>
      <c r="B677" s="212">
        <v>6</v>
      </c>
      <c r="C677" s="213" t="s">
        <v>234</v>
      </c>
      <c r="D677" s="200" t="s">
        <v>74</v>
      </c>
      <c r="E677" s="200"/>
      <c r="F677" s="202"/>
      <c r="G677" s="214" t="e">
        <f>+G676+G675</f>
        <v>#REF!</v>
      </c>
    </row>
    <row r="678" spans="1:10" customFormat="1" ht="14.4" x14ac:dyDescent="0.3">
      <c r="A678" s="160"/>
      <c r="B678" s="200">
        <v>7</v>
      </c>
      <c r="C678" s="201" t="s">
        <v>235</v>
      </c>
      <c r="D678" s="200" t="s">
        <v>236</v>
      </c>
      <c r="E678" s="211">
        <v>0.15</v>
      </c>
      <c r="F678" s="202"/>
      <c r="G678" s="203" t="e">
        <f>+G677*E678</f>
        <v>#REF!</v>
      </c>
    </row>
    <row r="679" spans="1:10" customFormat="1" ht="15" thickBot="1" x14ac:dyDescent="0.35">
      <c r="A679" s="160"/>
      <c r="B679" s="200">
        <v>8</v>
      </c>
      <c r="C679" s="201" t="s">
        <v>75</v>
      </c>
      <c r="D679" s="200" t="s">
        <v>237</v>
      </c>
      <c r="E679" s="211">
        <v>0.1</v>
      </c>
      <c r="F679" s="202"/>
      <c r="G679" s="204" t="e">
        <f>+G677*E679</f>
        <v>#REF!</v>
      </c>
    </row>
    <row r="680" spans="1:10" customFormat="1" ht="14.4" x14ac:dyDescent="0.3">
      <c r="A680" s="160"/>
      <c r="B680" s="212">
        <v>9</v>
      </c>
      <c r="C680" s="213" t="s">
        <v>76</v>
      </c>
      <c r="D680" s="200" t="s">
        <v>238</v>
      </c>
      <c r="E680" s="211"/>
      <c r="F680" s="202"/>
      <c r="G680" s="214" t="e">
        <f>SUM(G677:G679)-G672</f>
        <v>#REF!</v>
      </c>
    </row>
    <row r="681" spans="1:10" customFormat="1" ht="14.4" x14ac:dyDescent="0.3">
      <c r="A681" s="160"/>
      <c r="B681" s="200">
        <v>10</v>
      </c>
      <c r="C681" s="201" t="s">
        <v>119</v>
      </c>
      <c r="D681" s="200" t="s">
        <v>77</v>
      </c>
      <c r="E681" s="211">
        <v>0.03</v>
      </c>
      <c r="F681" s="202"/>
      <c r="G681" s="203" t="e">
        <f>(G673+G676+G678+G679)*E681</f>
        <v>#REF!</v>
      </c>
      <c r="I681" s="215" t="e">
        <f>G681</f>
        <v>#REF!</v>
      </c>
    </row>
    <row r="682" spans="1:10" customFormat="1" ht="15" thickBot="1" x14ac:dyDescent="0.35">
      <c r="A682" s="160"/>
      <c r="B682" s="200">
        <v>11</v>
      </c>
      <c r="C682" s="201" t="s">
        <v>78</v>
      </c>
      <c r="D682" s="200"/>
      <c r="E682" s="211">
        <v>0.35</v>
      </c>
      <c r="F682" s="202"/>
      <c r="G682" s="203" t="e">
        <f>E682*(G679)</f>
        <v>#REF!</v>
      </c>
      <c r="J682" s="216" t="e">
        <f>G682</f>
        <v>#REF!</v>
      </c>
    </row>
    <row r="683" spans="1:10" customFormat="1" ht="15" thickBot="1" x14ac:dyDescent="0.35">
      <c r="A683" s="160"/>
      <c r="B683" s="217">
        <v>12</v>
      </c>
      <c r="C683" s="218" t="s">
        <v>239</v>
      </c>
      <c r="D683" s="219" t="s">
        <v>240</v>
      </c>
      <c r="E683" s="219"/>
      <c r="F683" s="220"/>
      <c r="G683" s="221" t="e">
        <f>SUM(G680:G682)</f>
        <v>#REF!</v>
      </c>
    </row>
  </sheetData>
  <dataValidations disablePrompts="1" count="1">
    <dataValidation type="list" allowBlank="1" showInputMessage="1" showErrorMessage="1" sqref="B26 B4:B9 B11:B24 B68 B46:B51 B53:B66 B91:B94 B96:B99 B101 B126 B104:B109 B111:B124 B386:B388 B381:B384 B390 B418 B403:B407 B409:B416 B483 B470:B473 B511 B496:B500 B502:B509 B538 B524:B527 B529:B536 B475:B481 B666:B669 B648 B643:B646 B671 B637:B641 B597 B583:B586 B588:B595 B624 B610:B613 B615:B622 B661:B664 B168 B146:B151 B153:B166 B210 B188:B193 B195:B208 B252 B230:B235 B237:B250" xr:uid="{00000000-0002-0000-0400-000000000000}">
      <formula1>"Capítulo,Partida,Mano de obra,Maquinaria,Material,Otros,"</formula1>
    </dataValidation>
  </dataValidations>
  <pageMargins left="0.7" right="0.7" top="0.75" bottom="0.75" header="0.3" footer="0.3"/>
  <ignoredErrors>
    <ignoredError sqref="G10 G13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A1AD-DD66-454E-AB90-8F04CEAB3981}">
  <dimension ref="B5:P24"/>
  <sheetViews>
    <sheetView workbookViewId="0">
      <selection activeCell="B9" sqref="B9"/>
    </sheetView>
  </sheetViews>
  <sheetFormatPr baseColWidth="10" defaultRowHeight="14.4" x14ac:dyDescent="0.3"/>
  <cols>
    <col min="4" max="4" width="13.109375" bestFit="1" customWidth="1"/>
    <col min="6" max="6" width="13.109375" bestFit="1" customWidth="1"/>
    <col min="7" max="7" width="13.109375" customWidth="1"/>
    <col min="11" max="11" width="14.5546875" customWidth="1"/>
    <col min="13" max="13" width="16.6640625" customWidth="1"/>
    <col min="14" max="14" width="15.109375" customWidth="1"/>
    <col min="16" max="16" width="14.109375" bestFit="1" customWidth="1"/>
  </cols>
  <sheetData>
    <row r="5" spans="2:16" x14ac:dyDescent="0.3">
      <c r="B5" s="8"/>
      <c r="I5" t="s">
        <v>195</v>
      </c>
    </row>
    <row r="6" spans="2:16" x14ac:dyDescent="0.3">
      <c r="B6" s="41">
        <v>7500</v>
      </c>
      <c r="C6">
        <v>4</v>
      </c>
      <c r="D6" s="41">
        <f t="shared" ref="D6:D18" si="0">B6*C6</f>
        <v>30000</v>
      </c>
      <c r="E6">
        <v>1</v>
      </c>
      <c r="F6" s="41">
        <v>350000</v>
      </c>
      <c r="G6" s="41">
        <f>F6*E6</f>
        <v>350000</v>
      </c>
      <c r="I6" s="172">
        <f t="shared" ref="I6:I18" si="1">B6/289</f>
        <v>25.951557093425606</v>
      </c>
      <c r="J6">
        <v>4</v>
      </c>
      <c r="K6" s="172">
        <f t="shared" ref="K6:K18" si="2">J6*I6</f>
        <v>103.80622837370242</v>
      </c>
      <c r="L6">
        <v>1</v>
      </c>
      <c r="M6" s="172">
        <f>F6/289</f>
        <v>1211.0726643598616</v>
      </c>
      <c r="N6" s="172">
        <f>M6*L6</f>
        <v>1211.0726643598616</v>
      </c>
      <c r="O6" t="s">
        <v>194</v>
      </c>
    </row>
    <row r="7" spans="2:16" x14ac:dyDescent="0.3">
      <c r="B7" s="41">
        <v>8000</v>
      </c>
      <c r="C7">
        <v>3</v>
      </c>
      <c r="D7" s="41">
        <f t="shared" si="0"/>
        <v>24000</v>
      </c>
      <c r="E7">
        <v>1</v>
      </c>
      <c r="F7" s="41">
        <v>70000</v>
      </c>
      <c r="G7" s="41">
        <f t="shared" ref="G7" si="3">F7*E7</f>
        <v>70000</v>
      </c>
      <c r="I7" s="172">
        <f t="shared" si="1"/>
        <v>27.681660899653981</v>
      </c>
      <c r="J7">
        <v>3</v>
      </c>
      <c r="K7" s="172">
        <f t="shared" si="2"/>
        <v>83.044982698961945</v>
      </c>
      <c r="L7">
        <v>1</v>
      </c>
      <c r="M7" s="172">
        <f>70000/289</f>
        <v>242.21453287197232</v>
      </c>
      <c r="N7" s="172">
        <f t="shared" ref="N7" si="4">M7*L7</f>
        <v>242.21453287197232</v>
      </c>
      <c r="O7" t="s">
        <v>197</v>
      </c>
    </row>
    <row r="8" spans="2:16" x14ac:dyDescent="0.3">
      <c r="B8" s="41">
        <v>4300</v>
      </c>
      <c r="C8">
        <v>75</v>
      </c>
      <c r="D8" s="41">
        <f t="shared" si="0"/>
        <v>322500</v>
      </c>
      <c r="E8">
        <v>1.75</v>
      </c>
      <c r="F8" s="41">
        <f>E8*B8</f>
        <v>7525</v>
      </c>
      <c r="G8" s="41">
        <f>F8*C8</f>
        <v>564375</v>
      </c>
      <c r="I8" s="172">
        <f t="shared" si="1"/>
        <v>14.878892733564014</v>
      </c>
      <c r="J8">
        <v>75</v>
      </c>
      <c r="K8" s="172">
        <f t="shared" si="2"/>
        <v>1115.916955017301</v>
      </c>
      <c r="L8">
        <v>1.7</v>
      </c>
      <c r="M8" s="172">
        <f>L8*I8</f>
        <v>25.294117647058822</v>
      </c>
      <c r="N8" s="172">
        <f>M8*J8</f>
        <v>1897.0588235294117</v>
      </c>
      <c r="O8" t="s">
        <v>198</v>
      </c>
    </row>
    <row r="9" spans="2:16" x14ac:dyDescent="0.3">
      <c r="B9" s="41">
        <v>785</v>
      </c>
      <c r="C9">
        <v>78</v>
      </c>
      <c r="D9" s="41">
        <f t="shared" si="0"/>
        <v>61230</v>
      </c>
      <c r="E9">
        <f>E8</f>
        <v>1.75</v>
      </c>
      <c r="F9" s="41">
        <f t="shared" ref="F9:F18" si="5">E9*B9</f>
        <v>1373.75</v>
      </c>
      <c r="G9" s="41">
        <f t="shared" ref="G9:G18" si="6">F9*C9</f>
        <v>107152.5</v>
      </c>
      <c r="I9" s="172">
        <f t="shared" si="1"/>
        <v>2.7162629757785468</v>
      </c>
      <c r="J9">
        <v>203</v>
      </c>
      <c r="K9" s="172">
        <f t="shared" si="2"/>
        <v>551.40138408304495</v>
      </c>
      <c r="L9">
        <f>L8</f>
        <v>1.7</v>
      </c>
      <c r="M9" s="172">
        <f t="shared" ref="M9:M18" si="7">L9*I9</f>
        <v>4.6176470588235299</v>
      </c>
      <c r="N9" s="172">
        <f t="shared" ref="N9:N18" si="8">M9*J9</f>
        <v>937.38235294117658</v>
      </c>
      <c r="O9" t="s">
        <v>199</v>
      </c>
      <c r="P9" s="172">
        <f>N9*306</f>
        <v>286839.00000000006</v>
      </c>
    </row>
    <row r="10" spans="2:16" x14ac:dyDescent="0.3">
      <c r="B10" s="41">
        <v>5130</v>
      </c>
      <c r="C10">
        <v>3</v>
      </c>
      <c r="D10" s="41">
        <f t="shared" si="0"/>
        <v>15390</v>
      </c>
      <c r="E10">
        <f t="shared" ref="E10:E18" si="9">E9</f>
        <v>1.75</v>
      </c>
      <c r="F10" s="41">
        <f t="shared" si="5"/>
        <v>8977.5</v>
      </c>
      <c r="G10" s="41">
        <f t="shared" si="6"/>
        <v>26932.5</v>
      </c>
      <c r="I10" s="172">
        <f t="shared" si="1"/>
        <v>17.750865051903116</v>
      </c>
      <c r="J10">
        <v>3</v>
      </c>
      <c r="K10" s="172">
        <f t="shared" si="2"/>
        <v>53.252595155709344</v>
      </c>
      <c r="L10">
        <f t="shared" ref="L10:L18" si="10">L9</f>
        <v>1.7</v>
      </c>
      <c r="M10" s="172">
        <f t="shared" si="7"/>
        <v>30.176470588235297</v>
      </c>
      <c r="N10" s="172">
        <f t="shared" si="8"/>
        <v>90.529411764705884</v>
      </c>
      <c r="O10" t="s">
        <v>200</v>
      </c>
    </row>
    <row r="11" spans="2:16" x14ac:dyDescent="0.3">
      <c r="B11" s="41">
        <v>5137</v>
      </c>
      <c r="C11">
        <v>1.7</v>
      </c>
      <c r="D11" s="41">
        <f t="shared" si="0"/>
        <v>8732.9</v>
      </c>
      <c r="E11">
        <f t="shared" si="9"/>
        <v>1.75</v>
      </c>
      <c r="F11" s="41">
        <f t="shared" si="5"/>
        <v>8989.75</v>
      </c>
      <c r="G11" s="41">
        <f t="shared" si="6"/>
        <v>15282.574999999999</v>
      </c>
      <c r="I11" s="172">
        <f t="shared" si="1"/>
        <v>17.775086505190313</v>
      </c>
      <c r="J11">
        <v>1.7</v>
      </c>
      <c r="K11" s="172">
        <f t="shared" si="2"/>
        <v>30.21764705882353</v>
      </c>
      <c r="L11">
        <f t="shared" si="10"/>
        <v>1.7</v>
      </c>
      <c r="M11" s="172">
        <f t="shared" si="7"/>
        <v>30.21764705882353</v>
      </c>
      <c r="N11" s="172">
        <f t="shared" si="8"/>
        <v>51.37</v>
      </c>
      <c r="O11" t="s">
        <v>200</v>
      </c>
    </row>
    <row r="12" spans="2:16" x14ac:dyDescent="0.3">
      <c r="B12" s="41">
        <v>3960</v>
      </c>
      <c r="C12">
        <v>110</v>
      </c>
      <c r="D12" s="41">
        <f t="shared" si="0"/>
        <v>435600</v>
      </c>
      <c r="E12">
        <f t="shared" si="9"/>
        <v>1.75</v>
      </c>
      <c r="F12" s="41">
        <f t="shared" si="5"/>
        <v>6930</v>
      </c>
      <c r="G12" s="41">
        <f t="shared" si="6"/>
        <v>762300</v>
      </c>
      <c r="I12" s="172">
        <f t="shared" si="1"/>
        <v>13.70242214532872</v>
      </c>
      <c r="J12">
        <v>110</v>
      </c>
      <c r="K12" s="172">
        <f t="shared" si="2"/>
        <v>1507.2664359861592</v>
      </c>
      <c r="L12">
        <f t="shared" si="10"/>
        <v>1.7</v>
      </c>
      <c r="M12" s="172">
        <f t="shared" si="7"/>
        <v>23.294117647058822</v>
      </c>
      <c r="N12" s="172">
        <f t="shared" si="8"/>
        <v>2562.3529411764703</v>
      </c>
      <c r="O12" t="s">
        <v>186</v>
      </c>
    </row>
    <row r="13" spans="2:16" x14ac:dyDescent="0.3">
      <c r="B13" s="41">
        <v>3460</v>
      </c>
      <c r="C13">
        <v>51.1</v>
      </c>
      <c r="D13" s="41">
        <f t="shared" si="0"/>
        <v>176806</v>
      </c>
      <c r="E13">
        <f t="shared" si="9"/>
        <v>1.75</v>
      </c>
      <c r="F13" s="41">
        <f t="shared" si="5"/>
        <v>6055</v>
      </c>
      <c r="G13" s="41">
        <f t="shared" si="6"/>
        <v>309410.5</v>
      </c>
      <c r="I13" s="172">
        <f t="shared" si="1"/>
        <v>11.972318339100346</v>
      </c>
      <c r="J13">
        <v>51.1</v>
      </c>
      <c r="K13" s="172">
        <f t="shared" si="2"/>
        <v>611.78546712802768</v>
      </c>
      <c r="L13">
        <f t="shared" si="10"/>
        <v>1.7</v>
      </c>
      <c r="M13" s="172">
        <f t="shared" si="7"/>
        <v>20.352941176470587</v>
      </c>
      <c r="N13" s="172">
        <f t="shared" si="8"/>
        <v>1040.035294117647</v>
      </c>
      <c r="O13" t="s">
        <v>188</v>
      </c>
    </row>
    <row r="14" spans="2:16" x14ac:dyDescent="0.3">
      <c r="B14" s="41">
        <v>4660</v>
      </c>
      <c r="C14">
        <v>40.5</v>
      </c>
      <c r="D14" s="41">
        <f t="shared" si="0"/>
        <v>188730</v>
      </c>
      <c r="E14">
        <f t="shared" si="9"/>
        <v>1.75</v>
      </c>
      <c r="F14" s="41">
        <f t="shared" si="5"/>
        <v>8155</v>
      </c>
      <c r="G14" s="41">
        <f t="shared" si="6"/>
        <v>330277.5</v>
      </c>
      <c r="I14" s="172">
        <f t="shared" si="1"/>
        <v>16.124567474048444</v>
      </c>
      <c r="J14">
        <v>40.5</v>
      </c>
      <c r="K14" s="172">
        <f t="shared" si="2"/>
        <v>653.04498269896203</v>
      </c>
      <c r="L14">
        <f t="shared" si="10"/>
        <v>1.7</v>
      </c>
      <c r="M14" s="172">
        <f t="shared" si="7"/>
        <v>27.411764705882355</v>
      </c>
      <c r="N14" s="172">
        <f t="shared" si="8"/>
        <v>1110.1764705882354</v>
      </c>
      <c r="O14" t="s">
        <v>21</v>
      </c>
    </row>
    <row r="15" spans="2:16" x14ac:dyDescent="0.3">
      <c r="B15" s="41">
        <v>7850</v>
      </c>
      <c r="C15">
        <v>45</v>
      </c>
      <c r="D15" s="41">
        <f t="shared" si="0"/>
        <v>353250</v>
      </c>
      <c r="E15">
        <f t="shared" si="9"/>
        <v>1.75</v>
      </c>
      <c r="F15" s="41">
        <f t="shared" si="5"/>
        <v>13737.5</v>
      </c>
      <c r="G15" s="41">
        <f t="shared" si="6"/>
        <v>618187.5</v>
      </c>
      <c r="I15" s="172">
        <f t="shared" si="1"/>
        <v>27.162629757785467</v>
      </c>
      <c r="J15">
        <v>45</v>
      </c>
      <c r="K15" s="172">
        <f t="shared" si="2"/>
        <v>1222.3183391003461</v>
      </c>
      <c r="L15">
        <f t="shared" si="10"/>
        <v>1.7</v>
      </c>
      <c r="M15" s="172">
        <f t="shared" si="7"/>
        <v>46.17647058823529</v>
      </c>
      <c r="N15" s="172">
        <f t="shared" si="8"/>
        <v>2077.9411764705878</v>
      </c>
      <c r="O15" t="s">
        <v>191</v>
      </c>
    </row>
    <row r="16" spans="2:16" x14ac:dyDescent="0.3">
      <c r="B16" s="41">
        <v>650</v>
      </c>
      <c r="C16">
        <v>90</v>
      </c>
      <c r="D16" s="41">
        <f t="shared" si="0"/>
        <v>58500</v>
      </c>
      <c r="E16">
        <f t="shared" si="9"/>
        <v>1.75</v>
      </c>
      <c r="F16" s="41">
        <f t="shared" si="5"/>
        <v>1137.5</v>
      </c>
      <c r="G16" s="41">
        <f t="shared" si="6"/>
        <v>102375</v>
      </c>
      <c r="I16" s="172">
        <f t="shared" si="1"/>
        <v>2.2491349480968856</v>
      </c>
      <c r="J16">
        <v>90</v>
      </c>
      <c r="K16" s="172">
        <f t="shared" si="2"/>
        <v>202.42214532871969</v>
      </c>
      <c r="L16">
        <f t="shared" si="10"/>
        <v>1.7</v>
      </c>
      <c r="M16" s="172">
        <f t="shared" si="7"/>
        <v>3.8235294117647056</v>
      </c>
      <c r="N16" s="172">
        <f t="shared" si="8"/>
        <v>344.11764705882348</v>
      </c>
      <c r="O16" t="s">
        <v>201</v>
      </c>
    </row>
    <row r="17" spans="2:15" x14ac:dyDescent="0.3">
      <c r="B17" s="41">
        <v>2930</v>
      </c>
      <c r="C17">
        <v>60</v>
      </c>
      <c r="D17" s="41">
        <f t="shared" si="0"/>
        <v>175800</v>
      </c>
      <c r="E17">
        <f t="shared" si="9"/>
        <v>1.75</v>
      </c>
      <c r="F17" s="41">
        <f t="shared" si="5"/>
        <v>5127.5</v>
      </c>
      <c r="G17" s="41">
        <f t="shared" si="6"/>
        <v>307650</v>
      </c>
      <c r="I17" s="172">
        <f t="shared" si="1"/>
        <v>10.13840830449827</v>
      </c>
      <c r="J17">
        <v>60</v>
      </c>
      <c r="K17" s="172">
        <f t="shared" si="2"/>
        <v>608.30449826989616</v>
      </c>
      <c r="L17">
        <f t="shared" si="10"/>
        <v>1.7</v>
      </c>
      <c r="M17" s="172">
        <f t="shared" si="7"/>
        <v>17.235294117647058</v>
      </c>
      <c r="N17" s="172">
        <f t="shared" si="8"/>
        <v>1034.1176470588234</v>
      </c>
      <c r="O17" t="s">
        <v>202</v>
      </c>
    </row>
    <row r="18" spans="2:15" x14ac:dyDescent="0.3">
      <c r="B18" s="41">
        <v>6300</v>
      </c>
      <c r="C18">
        <v>30</v>
      </c>
      <c r="D18" s="41">
        <f t="shared" si="0"/>
        <v>189000</v>
      </c>
      <c r="E18">
        <f t="shared" si="9"/>
        <v>1.75</v>
      </c>
      <c r="F18" s="41">
        <f t="shared" si="5"/>
        <v>11025</v>
      </c>
      <c r="G18" s="41">
        <f t="shared" si="6"/>
        <v>330750</v>
      </c>
      <c r="I18" s="172">
        <f t="shared" si="1"/>
        <v>21.79930795847751</v>
      </c>
      <c r="J18">
        <v>30</v>
      </c>
      <c r="K18" s="172">
        <f t="shared" si="2"/>
        <v>653.97923875432525</v>
      </c>
      <c r="L18">
        <f t="shared" si="10"/>
        <v>1.7</v>
      </c>
      <c r="M18" s="172">
        <f t="shared" si="7"/>
        <v>37.058823529411768</v>
      </c>
      <c r="N18" s="172">
        <f t="shared" si="8"/>
        <v>1111.7647058823532</v>
      </c>
      <c r="O18" t="s">
        <v>203</v>
      </c>
    </row>
    <row r="19" spans="2:15" x14ac:dyDescent="0.3">
      <c r="B19" s="8"/>
      <c r="D19" s="41"/>
      <c r="K19" s="171"/>
      <c r="N19" s="172"/>
    </row>
    <row r="20" spans="2:15" x14ac:dyDescent="0.3">
      <c r="B20" s="8"/>
      <c r="D20" s="41">
        <f>SUM(D6:D19)</f>
        <v>2039538.9</v>
      </c>
      <c r="F20" s="41"/>
      <c r="G20" s="41">
        <f>SUM(G6:G19)</f>
        <v>3894693.0750000002</v>
      </c>
      <c r="K20" s="172">
        <f>SUM(K6:K19)</f>
        <v>7396.7608996539802</v>
      </c>
      <c r="M20" s="41"/>
      <c r="N20" s="172">
        <f>SUM(N6:N19)</f>
        <v>13710.13366782007</v>
      </c>
    </row>
    <row r="22" spans="2:15" x14ac:dyDescent="0.3">
      <c r="M22" s="172">
        <f>N20-K20</f>
        <v>6313.3727681660894</v>
      </c>
    </row>
    <row r="24" spans="2:15" x14ac:dyDescent="0.3">
      <c r="M24" s="17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opLeftCell="B1" workbookViewId="0">
      <selection activeCell="K20" sqref="K20"/>
    </sheetView>
  </sheetViews>
  <sheetFormatPr baseColWidth="10" defaultRowHeight="14.4" x14ac:dyDescent="0.3"/>
  <cols>
    <col min="9" max="9" width="11.77734375" bestFit="1" customWidth="1"/>
    <col min="10" max="10" width="14.5546875" bestFit="1" customWidth="1"/>
    <col min="14" max="15" width="14.33203125" customWidth="1"/>
    <col min="16" max="16" width="17" customWidth="1"/>
  </cols>
  <sheetData>
    <row r="1" spans="1:17" x14ac:dyDescent="0.3">
      <c r="A1" t="s">
        <v>22</v>
      </c>
      <c r="E1" t="s">
        <v>25</v>
      </c>
      <c r="I1" s="284" t="s">
        <v>379</v>
      </c>
      <c r="J1" s="284"/>
      <c r="K1" s="284"/>
      <c r="M1" s="291"/>
      <c r="N1" s="291"/>
      <c r="O1" s="291"/>
      <c r="P1" s="291"/>
      <c r="Q1" s="291"/>
    </row>
    <row r="2" spans="1:17" x14ac:dyDescent="0.3">
      <c r="A2" t="s">
        <v>20</v>
      </c>
      <c r="D2" t="s">
        <v>26</v>
      </c>
      <c r="I2" s="284"/>
      <c r="J2" s="284"/>
      <c r="K2" s="284"/>
      <c r="M2" s="291"/>
      <c r="N2" s="291"/>
      <c r="O2" s="291"/>
      <c r="P2" s="257" t="s">
        <v>395</v>
      </c>
      <c r="Q2" s="291"/>
    </row>
    <row r="3" spans="1:17" x14ac:dyDescent="0.3">
      <c r="A3">
        <v>2</v>
      </c>
      <c r="B3">
        <v>140</v>
      </c>
      <c r="C3">
        <v>7</v>
      </c>
      <c r="D3">
        <f>C3*A3</f>
        <v>14</v>
      </c>
      <c r="E3">
        <v>4.51</v>
      </c>
      <c r="F3">
        <f>E3*D3</f>
        <v>63.14</v>
      </c>
      <c r="I3" s="284" t="s">
        <v>388</v>
      </c>
      <c r="J3" s="284">
        <v>6290</v>
      </c>
      <c r="K3" s="284">
        <f>J3*1.2</f>
        <v>7548</v>
      </c>
      <c r="M3" s="291"/>
      <c r="N3" s="352" t="s">
        <v>396</v>
      </c>
      <c r="O3" s="352"/>
      <c r="P3" s="353">
        <f>K3+K4+K7+K8+K9+K12+K15</f>
        <v>28916.556</v>
      </c>
      <c r="Q3" s="291"/>
    </row>
    <row r="4" spans="1:17" x14ac:dyDescent="0.3">
      <c r="A4">
        <v>4</v>
      </c>
      <c r="B4">
        <v>140</v>
      </c>
      <c r="C4">
        <v>6.9</v>
      </c>
      <c r="D4">
        <f>C4*A4</f>
        <v>27.6</v>
      </c>
      <c r="E4">
        <v>4.51</v>
      </c>
      <c r="F4">
        <f t="shared" ref="F4:F10" si="0">E4*D4</f>
        <v>124.476</v>
      </c>
      <c r="I4" s="284" t="s">
        <v>389</v>
      </c>
      <c r="J4" s="284">
        <v>1590</v>
      </c>
      <c r="K4" s="284">
        <f t="shared" ref="K4:K15" si="1">J4*1.2</f>
        <v>1908</v>
      </c>
      <c r="M4" s="291"/>
      <c r="N4" s="352"/>
      <c r="O4" s="352"/>
      <c r="P4" s="353"/>
      <c r="Q4" s="291"/>
    </row>
    <row r="5" spans="1:17" x14ac:dyDescent="0.3">
      <c r="A5">
        <v>4</v>
      </c>
      <c r="B5">
        <v>140</v>
      </c>
      <c r="C5">
        <v>2.6</v>
      </c>
      <c r="D5">
        <f>C5*A5</f>
        <v>10.4</v>
      </c>
      <c r="E5">
        <v>4.51</v>
      </c>
      <c r="F5">
        <f t="shared" si="0"/>
        <v>46.903999999999996</v>
      </c>
      <c r="I5" s="284" t="s">
        <v>380</v>
      </c>
      <c r="J5" s="284">
        <v>897.82</v>
      </c>
      <c r="K5" s="284">
        <f t="shared" si="1"/>
        <v>1077.384</v>
      </c>
      <c r="M5" s="291"/>
      <c r="N5" s="352"/>
      <c r="O5" s="352"/>
      <c r="P5" s="353"/>
      <c r="Q5" s="291"/>
    </row>
    <row r="6" spans="1:17" ht="14.4" customHeight="1" x14ac:dyDescent="0.3">
      <c r="A6">
        <v>2</v>
      </c>
      <c r="B6">
        <v>140</v>
      </c>
      <c r="C6">
        <v>4.5</v>
      </c>
      <c r="D6">
        <f>C6*A6</f>
        <v>9</v>
      </c>
      <c r="E6">
        <v>4.51</v>
      </c>
      <c r="F6">
        <f t="shared" si="0"/>
        <v>40.589999999999996</v>
      </c>
      <c r="I6" s="284" t="s">
        <v>383</v>
      </c>
      <c r="J6" s="284">
        <v>401.5</v>
      </c>
      <c r="K6" s="284">
        <f t="shared" si="1"/>
        <v>481.79999999999995</v>
      </c>
      <c r="M6" s="291"/>
      <c r="N6" s="352"/>
      <c r="O6" s="352"/>
      <c r="P6" s="353"/>
      <c r="Q6" s="291"/>
    </row>
    <row r="7" spans="1:17" x14ac:dyDescent="0.3">
      <c r="A7">
        <v>2</v>
      </c>
      <c r="B7">
        <v>140</v>
      </c>
      <c r="C7">
        <v>8.3000000000000007</v>
      </c>
      <c r="D7">
        <f>C7*A7</f>
        <v>16.600000000000001</v>
      </c>
      <c r="E7">
        <v>4.51</v>
      </c>
      <c r="F7">
        <f t="shared" si="0"/>
        <v>74.866</v>
      </c>
      <c r="I7" s="284" t="s">
        <v>381</v>
      </c>
      <c r="J7" s="284">
        <v>5623.13</v>
      </c>
      <c r="K7" s="284">
        <f t="shared" si="1"/>
        <v>6747.7560000000003</v>
      </c>
      <c r="M7" s="291"/>
      <c r="N7" s="352"/>
      <c r="O7" s="352"/>
      <c r="P7" s="353"/>
      <c r="Q7" s="291"/>
    </row>
    <row r="8" spans="1:17" x14ac:dyDescent="0.3">
      <c r="I8" s="284" t="s">
        <v>382</v>
      </c>
      <c r="J8" s="284">
        <v>1840</v>
      </c>
      <c r="K8" s="284">
        <f t="shared" si="1"/>
        <v>2208</v>
      </c>
      <c r="M8" s="291"/>
      <c r="N8" s="291"/>
      <c r="O8" s="291"/>
      <c r="P8" s="291"/>
      <c r="Q8" s="291"/>
    </row>
    <row r="9" spans="1:17" x14ac:dyDescent="0.3">
      <c r="A9">
        <v>2</v>
      </c>
      <c r="B9">
        <v>200</v>
      </c>
      <c r="C9">
        <v>4.5</v>
      </c>
      <c r="D9">
        <f>C9*A9</f>
        <v>9</v>
      </c>
      <c r="E9">
        <v>7.72</v>
      </c>
      <c r="F9">
        <f t="shared" si="0"/>
        <v>69.48</v>
      </c>
      <c r="I9" s="284" t="s">
        <v>384</v>
      </c>
      <c r="J9" s="284">
        <v>254</v>
      </c>
      <c r="K9" s="284">
        <f t="shared" si="1"/>
        <v>304.8</v>
      </c>
      <c r="M9" s="291"/>
      <c r="N9" s="352" t="s">
        <v>397</v>
      </c>
      <c r="O9" s="352"/>
      <c r="P9" s="353">
        <f>+K3+K4+K7+K8+K12+J15</f>
        <v>27611.756000000001</v>
      </c>
      <c r="Q9" s="291"/>
    </row>
    <row r="10" spans="1:17" x14ac:dyDescent="0.3">
      <c r="A10">
        <v>3</v>
      </c>
      <c r="B10">
        <v>200</v>
      </c>
      <c r="C10">
        <v>4.4000000000000004</v>
      </c>
      <c r="D10">
        <f>C10*A10</f>
        <v>13.200000000000001</v>
      </c>
      <c r="E10">
        <v>7.72</v>
      </c>
      <c r="F10">
        <f t="shared" si="0"/>
        <v>101.90400000000001</v>
      </c>
      <c r="I10" s="284" t="s">
        <v>385</v>
      </c>
      <c r="J10" s="284">
        <v>3590</v>
      </c>
      <c r="K10" s="284">
        <f t="shared" si="1"/>
        <v>4308</v>
      </c>
      <c r="M10" s="291"/>
      <c r="N10" s="352"/>
      <c r="O10" s="352"/>
      <c r="P10" s="354"/>
      <c r="Q10" s="291"/>
    </row>
    <row r="11" spans="1:17" x14ac:dyDescent="0.3">
      <c r="I11" s="284" t="s">
        <v>386</v>
      </c>
      <c r="J11" s="284">
        <v>795</v>
      </c>
      <c r="K11" s="284">
        <f t="shared" si="1"/>
        <v>954</v>
      </c>
      <c r="M11" s="291"/>
      <c r="N11" s="352"/>
      <c r="O11" s="352"/>
      <c r="P11" s="354"/>
      <c r="Q11" s="291"/>
    </row>
    <row r="12" spans="1:17" x14ac:dyDescent="0.3">
      <c r="A12" t="s">
        <v>21</v>
      </c>
      <c r="I12" s="284" t="s">
        <v>387</v>
      </c>
      <c r="J12" s="284">
        <v>3500</v>
      </c>
      <c r="K12" s="284">
        <f t="shared" si="1"/>
        <v>4200</v>
      </c>
      <c r="M12" s="291"/>
      <c r="N12" s="352"/>
      <c r="O12" s="352"/>
      <c r="P12" s="354"/>
      <c r="Q12" s="291"/>
    </row>
    <row r="13" spans="1:17" x14ac:dyDescent="0.3">
      <c r="A13">
        <v>7</v>
      </c>
      <c r="B13">
        <v>200</v>
      </c>
      <c r="C13">
        <v>2.5</v>
      </c>
      <c r="D13">
        <f>C13*A13</f>
        <v>17.5</v>
      </c>
      <c r="E13">
        <v>7.72</v>
      </c>
      <c r="F13">
        <f>E13*D13</f>
        <v>135.1</v>
      </c>
      <c r="I13" s="284" t="s">
        <v>390</v>
      </c>
      <c r="J13" s="284">
        <v>5470</v>
      </c>
      <c r="K13" s="284">
        <f t="shared" si="1"/>
        <v>6564</v>
      </c>
      <c r="M13" s="291"/>
      <c r="N13" s="352"/>
      <c r="O13" s="352"/>
      <c r="P13" s="354"/>
      <c r="Q13" s="291"/>
    </row>
    <row r="14" spans="1:17" ht="15.6" x14ac:dyDescent="0.3">
      <c r="A14">
        <v>18</v>
      </c>
      <c r="B14">
        <v>140</v>
      </c>
      <c r="C14">
        <v>2.5</v>
      </c>
      <c r="D14">
        <f>C14*A14</f>
        <v>45</v>
      </c>
      <c r="E14">
        <v>4.51</v>
      </c>
      <c r="F14">
        <f>E14*D14</f>
        <v>202.95</v>
      </c>
      <c r="I14" s="284"/>
      <c r="J14" s="285">
        <f>SUM(J3:J13)</f>
        <v>30251.45</v>
      </c>
      <c r="K14" s="284" t="s">
        <v>24</v>
      </c>
      <c r="L14">
        <f>J12+J9+J8+J7+J6+J5+J4+J3</f>
        <v>20396.45</v>
      </c>
      <c r="M14" s="291"/>
      <c r="N14" s="291"/>
      <c r="O14" s="291"/>
      <c r="P14" s="291"/>
      <c r="Q14" s="291"/>
    </row>
    <row r="15" spans="1:17" x14ac:dyDescent="0.3">
      <c r="I15" s="284" t="s">
        <v>391</v>
      </c>
      <c r="J15" s="284">
        <v>5000</v>
      </c>
      <c r="K15" s="284">
        <f t="shared" si="1"/>
        <v>6000</v>
      </c>
      <c r="M15" s="291"/>
      <c r="N15" s="355" t="s">
        <v>398</v>
      </c>
      <c r="O15" s="355"/>
      <c r="P15" s="353">
        <f>+K11+K10+K13+J15-1500</f>
        <v>15326</v>
      </c>
      <c r="Q15" s="291"/>
    </row>
    <row r="16" spans="1:17" x14ac:dyDescent="0.3">
      <c r="A16" t="s">
        <v>23</v>
      </c>
      <c r="J16">
        <f>SUM(J14:J15)</f>
        <v>35251.449999999997</v>
      </c>
      <c r="K16" s="284">
        <f>SUM(K3:K4,K7,K8,K9,K11,K12,K13,K15)</f>
        <v>36434.555999999997</v>
      </c>
      <c r="M16" s="291"/>
      <c r="N16" s="355"/>
      <c r="O16" s="355"/>
      <c r="P16" s="354"/>
      <c r="Q16" s="291"/>
    </row>
    <row r="17" spans="1:17" x14ac:dyDescent="0.3">
      <c r="C17" t="s">
        <v>24</v>
      </c>
      <c r="D17" t="s">
        <v>24</v>
      </c>
      <c r="M17" s="291"/>
      <c r="N17" s="355"/>
      <c r="O17" s="355"/>
      <c r="P17" s="354"/>
      <c r="Q17" s="291"/>
    </row>
    <row r="18" spans="1:17" x14ac:dyDescent="0.3">
      <c r="A18">
        <v>12</v>
      </c>
      <c r="C18">
        <f>(0.3*0.3)+(0.1*0.2)</f>
        <v>0.11</v>
      </c>
      <c r="D18">
        <f>C18*A18</f>
        <v>1.32</v>
      </c>
      <c r="E18">
        <v>49.85</v>
      </c>
      <c r="F18">
        <f>E18*D18</f>
        <v>65.802000000000007</v>
      </c>
      <c r="I18" s="290">
        <f>J18*1.25</f>
        <v>27821.412500000002</v>
      </c>
      <c r="J18" s="289">
        <f>J3+J4+J7+J9+J12+J15</f>
        <v>22257.13</v>
      </c>
      <c r="L18">
        <v>2851400.4</v>
      </c>
      <c r="M18" s="291"/>
      <c r="N18" s="355"/>
      <c r="O18" s="355"/>
      <c r="P18" s="354"/>
      <c r="Q18" s="291"/>
    </row>
    <row r="19" spans="1:17" x14ac:dyDescent="0.3">
      <c r="J19">
        <v>310.55</v>
      </c>
      <c r="L19">
        <v>2356629.2599999998</v>
      </c>
      <c r="M19" s="291"/>
      <c r="N19" s="355"/>
      <c r="O19" s="355"/>
      <c r="P19" s="354"/>
      <c r="Q19" s="291"/>
    </row>
    <row r="20" spans="1:17" x14ac:dyDescent="0.3">
      <c r="A20" t="s">
        <v>19</v>
      </c>
      <c r="J20" s="289">
        <f>J19*J18</f>
        <v>6911951.7215000009</v>
      </c>
      <c r="L20">
        <f>L18-L19</f>
        <v>494771.14000000013</v>
      </c>
    </row>
    <row r="21" spans="1:17" x14ac:dyDescent="0.3">
      <c r="A21" t="s">
        <v>20</v>
      </c>
      <c r="L21">
        <f>L20/2</f>
        <v>247385.57000000007</v>
      </c>
      <c r="M21">
        <f>L18-L21</f>
        <v>2604014.83</v>
      </c>
      <c r="N21">
        <f>M21/393</f>
        <v>6625.9919338422396</v>
      </c>
    </row>
    <row r="22" spans="1:17" x14ac:dyDescent="0.3">
      <c r="A22">
        <v>1</v>
      </c>
      <c r="B22">
        <v>160</v>
      </c>
      <c r="C22">
        <v>22.15</v>
      </c>
      <c r="D22">
        <f>C22*A22</f>
        <v>22.15</v>
      </c>
      <c r="E22">
        <v>4.82</v>
      </c>
      <c r="F22">
        <f>E22*D22</f>
        <v>106.76300000000001</v>
      </c>
      <c r="L22" s="169"/>
      <c r="M22" s="169">
        <v>450000</v>
      </c>
      <c r="N22" s="169" t="s">
        <v>194</v>
      </c>
      <c r="O22" s="169"/>
    </row>
    <row r="23" spans="1:17" x14ac:dyDescent="0.3">
      <c r="L23" s="169"/>
      <c r="M23" s="169">
        <v>150000</v>
      </c>
      <c r="N23" s="169" t="s">
        <v>193</v>
      </c>
      <c r="O23" s="169"/>
    </row>
    <row r="24" spans="1:17" x14ac:dyDescent="0.3">
      <c r="L24" s="169"/>
      <c r="M24" s="169">
        <v>189000</v>
      </c>
      <c r="N24" s="169" t="s">
        <v>182</v>
      </c>
      <c r="O24" s="169"/>
    </row>
    <row r="25" spans="1:17" x14ac:dyDescent="0.3">
      <c r="A25" t="s">
        <v>21</v>
      </c>
      <c r="L25" s="169"/>
      <c r="M25" s="169">
        <v>26988</v>
      </c>
      <c r="N25" s="169" t="s">
        <v>183</v>
      </c>
      <c r="O25" s="169"/>
    </row>
    <row r="26" spans="1:17" x14ac:dyDescent="0.3">
      <c r="L26" s="169"/>
      <c r="M26" s="169">
        <v>15390</v>
      </c>
      <c r="N26" s="169" t="s">
        <v>184</v>
      </c>
      <c r="O26" s="169"/>
    </row>
    <row r="27" spans="1:17" x14ac:dyDescent="0.3">
      <c r="A27">
        <v>5</v>
      </c>
      <c r="B27">
        <v>160</v>
      </c>
      <c r="C27">
        <v>2.2999999999999998</v>
      </c>
      <c r="D27">
        <f>C27*A27</f>
        <v>11.5</v>
      </c>
      <c r="E27">
        <v>4.82</v>
      </c>
      <c r="F27">
        <f>E27*D27</f>
        <v>55.430000000000007</v>
      </c>
      <c r="L27" s="169"/>
      <c r="M27" s="169">
        <v>10274</v>
      </c>
      <c r="N27" s="169" t="s">
        <v>185</v>
      </c>
      <c r="O27" s="169"/>
    </row>
    <row r="28" spans="1:17" x14ac:dyDescent="0.3">
      <c r="L28" s="169"/>
      <c r="M28" s="169">
        <v>435000</v>
      </c>
      <c r="N28" s="169" t="s">
        <v>186</v>
      </c>
      <c r="O28" s="169"/>
    </row>
    <row r="29" spans="1:17" x14ac:dyDescent="0.3">
      <c r="A29" t="s">
        <v>52</v>
      </c>
      <c r="L29" s="169"/>
      <c r="M29" s="169">
        <v>136000</v>
      </c>
      <c r="N29" s="169" t="s">
        <v>187</v>
      </c>
      <c r="O29" s="169"/>
    </row>
    <row r="30" spans="1:17" x14ac:dyDescent="0.3">
      <c r="C30" t="s">
        <v>53</v>
      </c>
      <c r="L30" s="169"/>
      <c r="M30" s="169">
        <v>183726</v>
      </c>
      <c r="N30" s="169" t="s">
        <v>188</v>
      </c>
      <c r="O30" s="169"/>
    </row>
    <row r="31" spans="1:17" x14ac:dyDescent="0.3">
      <c r="A31">
        <v>7</v>
      </c>
      <c r="C31">
        <f>0.2*0.2</f>
        <v>4.0000000000000008E-2</v>
      </c>
      <c r="D31">
        <f>C31*A31</f>
        <v>0.28000000000000003</v>
      </c>
      <c r="E31">
        <v>37.700000000000003</v>
      </c>
      <c r="F31">
        <f>E31*D31</f>
        <v>10.556000000000001</v>
      </c>
      <c r="L31" s="169"/>
      <c r="M31" s="169">
        <v>137700</v>
      </c>
      <c r="N31" s="169" t="s">
        <v>21</v>
      </c>
      <c r="O31" s="169"/>
    </row>
    <row r="32" spans="1:17" x14ac:dyDescent="0.3">
      <c r="A32">
        <v>7</v>
      </c>
      <c r="C32">
        <v>1.6</v>
      </c>
      <c r="D32">
        <f>C32*A32</f>
        <v>11.200000000000001</v>
      </c>
      <c r="E32">
        <v>0.88800000000000001</v>
      </c>
      <c r="F32">
        <f>E32*D32</f>
        <v>9.9456000000000007</v>
      </c>
      <c r="L32" s="169"/>
      <c r="M32" s="169">
        <v>56250</v>
      </c>
      <c r="N32" s="169" t="s">
        <v>189</v>
      </c>
      <c r="O32" s="169"/>
    </row>
    <row r="33" spans="1:15" x14ac:dyDescent="0.3">
      <c r="F33">
        <f>SUM(F22:F32)</f>
        <v>182.69460000000004</v>
      </c>
      <c r="H33">
        <v>1.95</v>
      </c>
      <c r="J33">
        <f>H33*F33</f>
        <v>356.25447000000008</v>
      </c>
      <c r="K33">
        <f>J33*180</f>
        <v>64125.804600000018</v>
      </c>
      <c r="L33" s="169"/>
      <c r="M33" s="169">
        <v>205100</v>
      </c>
      <c r="N33" s="169" t="s">
        <v>190</v>
      </c>
      <c r="O33" s="169"/>
    </row>
    <row r="34" spans="1:15" x14ac:dyDescent="0.3">
      <c r="L34" s="169"/>
      <c r="M34" s="169">
        <v>432000</v>
      </c>
      <c r="N34" s="169" t="s">
        <v>191</v>
      </c>
      <c r="O34" s="169"/>
    </row>
    <row r="35" spans="1:15" x14ac:dyDescent="0.3">
      <c r="L35" s="170" t="s">
        <v>192</v>
      </c>
      <c r="M35" s="169">
        <f>SUM(M22:M34)</f>
        <v>2427428</v>
      </c>
      <c r="N35" s="169">
        <v>290</v>
      </c>
      <c r="O35" s="169">
        <f>M35/N35</f>
        <v>8370.4413793103449</v>
      </c>
    </row>
    <row r="36" spans="1:15" x14ac:dyDescent="0.3">
      <c r="A36" t="s">
        <v>54</v>
      </c>
      <c r="L36" s="169"/>
      <c r="M36" s="169">
        <f>M35*1.8</f>
        <v>4369370.4000000004</v>
      </c>
      <c r="N36" s="169"/>
      <c r="O36" s="169">
        <f>O35/78</f>
        <v>107.31335101679929</v>
      </c>
    </row>
    <row r="37" spans="1:15" x14ac:dyDescent="0.3">
      <c r="L37" s="169"/>
      <c r="M37" s="169"/>
      <c r="N37" s="169"/>
      <c r="O37" s="169"/>
    </row>
    <row r="38" spans="1:15" x14ac:dyDescent="0.3">
      <c r="F38">
        <v>58500</v>
      </c>
      <c r="L38" s="169"/>
      <c r="M38" s="169">
        <f>M36-M35</f>
        <v>1941942.4000000004</v>
      </c>
      <c r="N38" s="169"/>
      <c r="O38" s="169"/>
    </row>
    <row r="39" spans="1:15" x14ac:dyDescent="0.3">
      <c r="K39">
        <f>F38+K33</f>
        <v>122625.80460000002</v>
      </c>
    </row>
  </sheetData>
  <mergeCells count="6">
    <mergeCell ref="N3:O7"/>
    <mergeCell ref="N9:O13"/>
    <mergeCell ref="P3:P7"/>
    <mergeCell ref="P9:P13"/>
    <mergeCell ref="N15:O19"/>
    <mergeCell ref="P15:P1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U71"/>
  <sheetViews>
    <sheetView topLeftCell="A10" workbookViewId="0">
      <selection activeCell="E17" sqref="E17"/>
    </sheetView>
  </sheetViews>
  <sheetFormatPr baseColWidth="10" defaultColWidth="11.44140625" defaultRowHeight="14.4" x14ac:dyDescent="0.3"/>
  <cols>
    <col min="1" max="1" width="6.6640625" style="18" customWidth="1"/>
    <col min="2" max="2" width="48.44140625" style="8" customWidth="1"/>
    <col min="3" max="3" width="8.44140625" style="8" customWidth="1"/>
    <col min="4" max="4" width="7.5546875" style="26" customWidth="1"/>
    <col min="5" max="5" width="13.33203125" style="30" customWidth="1"/>
    <col min="6" max="6" width="18.88671875" style="13" customWidth="1"/>
    <col min="7" max="7" width="13.109375" bestFit="1" customWidth="1"/>
    <col min="8" max="8" width="15.6640625" bestFit="1" customWidth="1"/>
    <col min="9" max="9" width="32.88671875" customWidth="1"/>
  </cols>
  <sheetData>
    <row r="1" spans="1:71" ht="64.5" customHeight="1" thickBot="1" x14ac:dyDescent="0.35">
      <c r="A1" s="380" t="s">
        <v>136</v>
      </c>
      <c r="B1" s="381"/>
      <c r="C1" s="381"/>
      <c r="D1" s="381"/>
      <c r="E1" s="381"/>
      <c r="F1" s="381"/>
    </row>
    <row r="2" spans="1:71" ht="84" customHeight="1" thickTop="1" x14ac:dyDescent="0.3">
      <c r="A2" s="343" t="s">
        <v>275</v>
      </c>
      <c r="B2" s="343"/>
      <c r="C2" s="343"/>
      <c r="D2" s="343"/>
      <c r="E2" s="343"/>
      <c r="F2" s="343"/>
    </row>
    <row r="3" spans="1:71" ht="82.5" customHeight="1" x14ac:dyDescent="0.3">
      <c r="A3" s="344" t="s">
        <v>276</v>
      </c>
      <c r="B3" s="344"/>
      <c r="C3" s="344"/>
      <c r="D3" s="344"/>
      <c r="E3" s="344"/>
      <c r="F3" s="344"/>
    </row>
    <row r="4" spans="1:71" ht="192" customHeight="1" x14ac:dyDescent="0.3">
      <c r="A4" s="344" t="s">
        <v>293</v>
      </c>
      <c r="B4" s="344"/>
      <c r="C4" s="344"/>
      <c r="D4" s="344"/>
      <c r="E4" s="344"/>
      <c r="F4" s="344"/>
    </row>
    <row r="5" spans="1:71" ht="23.25" customHeight="1" x14ac:dyDescent="0.3">
      <c r="A5" s="334" t="s">
        <v>291</v>
      </c>
      <c r="B5" s="334"/>
      <c r="C5" s="334"/>
      <c r="D5" s="334"/>
      <c r="E5" s="334"/>
      <c r="F5" s="247" t="e">
        <f>F60</f>
        <v>#REF!</v>
      </c>
      <c r="I5" s="172" t="e">
        <f>F60</f>
        <v>#REF!</v>
      </c>
      <c r="J5" s="15" t="e">
        <f>I5/110/80</f>
        <v>#REF!</v>
      </c>
    </row>
    <row r="6" spans="1:71" ht="27.75" customHeight="1" x14ac:dyDescent="0.3">
      <c r="A6" s="42"/>
      <c r="B6" s="379" t="s">
        <v>292</v>
      </c>
      <c r="C6" s="379"/>
      <c r="D6" s="379"/>
      <c r="E6" s="379"/>
      <c r="F6" s="379"/>
      <c r="I6" s="140" t="e">
        <f>F68</f>
        <v>#REF!</v>
      </c>
    </row>
    <row r="7" spans="1:71" ht="258.75" customHeight="1" x14ac:dyDescent="0.3">
      <c r="A7" s="345" t="s">
        <v>204</v>
      </c>
      <c r="B7" s="345"/>
      <c r="C7" s="345"/>
      <c r="D7" s="345"/>
      <c r="E7" s="345"/>
      <c r="F7" s="345"/>
    </row>
    <row r="8" spans="1:71" ht="249" customHeight="1" thickBot="1" x14ac:dyDescent="0.35">
      <c r="A8" s="344" t="s">
        <v>277</v>
      </c>
      <c r="B8" s="344"/>
      <c r="C8" s="344"/>
      <c r="D8" s="344"/>
      <c r="E8" s="344"/>
      <c r="F8" s="344"/>
    </row>
    <row r="9" spans="1:71" ht="28.5" customHeight="1" thickBot="1" x14ac:dyDescent="0.35">
      <c r="A9" s="33" t="s">
        <v>12</v>
      </c>
      <c r="B9" s="34" t="s">
        <v>13</v>
      </c>
      <c r="C9" s="35" t="s">
        <v>14</v>
      </c>
      <c r="D9" s="36" t="s">
        <v>15</v>
      </c>
      <c r="E9" s="37" t="s">
        <v>16</v>
      </c>
      <c r="F9" s="38" t="s">
        <v>17</v>
      </c>
    </row>
    <row r="10" spans="1:71" s="2" customFormat="1" ht="28.5" customHeight="1" x14ac:dyDescent="0.3">
      <c r="A10" s="360" t="s">
        <v>0</v>
      </c>
      <c r="B10" s="361"/>
      <c r="C10" s="134"/>
      <c r="D10" s="142"/>
      <c r="E10" s="136"/>
      <c r="F10" s="143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</row>
    <row r="11" spans="1:71" ht="24.75" customHeight="1" x14ac:dyDescent="0.3">
      <c r="A11" s="144" t="s">
        <v>1</v>
      </c>
      <c r="B11" s="145" t="s">
        <v>146</v>
      </c>
      <c r="C11" s="146" t="s">
        <v>2</v>
      </c>
      <c r="D11" s="147">
        <v>1</v>
      </c>
      <c r="E11" s="240">
        <f>Hoja5!N9*306</f>
        <v>286839.00000000006</v>
      </c>
      <c r="F11" s="241">
        <f>E11*D11</f>
        <v>286839.00000000006</v>
      </c>
      <c r="G11" s="235">
        <v>318</v>
      </c>
      <c r="H11" s="41">
        <f>F11/G11</f>
        <v>902.00943396226432</v>
      </c>
    </row>
    <row r="12" spans="1:71" ht="24.75" customHeight="1" x14ac:dyDescent="0.3">
      <c r="A12" s="16" t="s">
        <v>18</v>
      </c>
      <c r="B12" s="39" t="s">
        <v>147</v>
      </c>
      <c r="C12" s="40" t="s">
        <v>274</v>
      </c>
      <c r="D12" s="23">
        <v>3</v>
      </c>
      <c r="E12" s="242">
        <f>(22000*1+15000)</f>
        <v>37000</v>
      </c>
      <c r="F12" s="243">
        <f>E12*D12+(65000/308)</f>
        <v>111211.03896103895</v>
      </c>
      <c r="G12" s="235">
        <f>G11</f>
        <v>318</v>
      </c>
      <c r="H12" s="41">
        <f>F12*G12</f>
        <v>35365110.389610387</v>
      </c>
    </row>
    <row r="13" spans="1:71" ht="24.75" customHeight="1" x14ac:dyDescent="0.3">
      <c r="A13" s="16" t="s">
        <v>51</v>
      </c>
      <c r="B13" s="39" t="s">
        <v>289</v>
      </c>
      <c r="C13" s="40"/>
      <c r="D13" s="23"/>
      <c r="E13" s="182"/>
      <c r="F13" s="238"/>
      <c r="G13" s="235">
        <f>G12</f>
        <v>318</v>
      </c>
    </row>
    <row r="14" spans="1:71" ht="28.5" customHeight="1" thickBot="1" x14ac:dyDescent="0.35">
      <c r="A14" s="17"/>
      <c r="B14" s="9"/>
      <c r="C14" s="10"/>
      <c r="D14" s="339" t="s">
        <v>6</v>
      </c>
      <c r="E14" s="340"/>
      <c r="F14" s="244">
        <f>SUM(F11:F13)</f>
        <v>398050.03896103904</v>
      </c>
      <c r="G14" s="235">
        <f t="shared" ref="G14:G22" si="0">G13</f>
        <v>318</v>
      </c>
      <c r="I14" s="15">
        <f>F14</f>
        <v>398050.03896103904</v>
      </c>
    </row>
    <row r="15" spans="1:71" s="2" customFormat="1" ht="28.5" customHeight="1" x14ac:dyDescent="0.3">
      <c r="A15" s="374" t="s">
        <v>196</v>
      </c>
      <c r="B15" s="375"/>
      <c r="C15" s="376"/>
      <c r="D15" s="376"/>
      <c r="E15" s="376"/>
      <c r="F15" s="237"/>
      <c r="G15" s="235">
        <f t="shared" si="0"/>
        <v>318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</row>
    <row r="16" spans="1:71" ht="41.25" customHeight="1" x14ac:dyDescent="0.3">
      <c r="A16" s="16" t="s">
        <v>3</v>
      </c>
      <c r="B16" s="6" t="s">
        <v>278</v>
      </c>
      <c r="C16" s="146" t="s">
        <v>2</v>
      </c>
      <c r="D16" s="147">
        <v>1</v>
      </c>
      <c r="E16" s="240">
        <f>Hoja6!K78</f>
        <v>148.25135111111112</v>
      </c>
      <c r="F16" s="241">
        <f t="shared" ref="F16:F22" si="1">E16*D16</f>
        <v>148.25135111111112</v>
      </c>
      <c r="G16" s="235">
        <f t="shared" si="0"/>
        <v>318</v>
      </c>
      <c r="H16" s="41">
        <f t="shared" ref="H16:H22" si="2">F16*G16</f>
        <v>47143.929653333333</v>
      </c>
      <c r="I16" s="15">
        <f>F16*0.8</f>
        <v>118.6010808888889</v>
      </c>
    </row>
    <row r="17" spans="1:71" ht="27" customHeight="1" x14ac:dyDescent="0.3">
      <c r="A17" s="16" t="s">
        <v>148</v>
      </c>
      <c r="B17" s="6" t="s">
        <v>279</v>
      </c>
      <c r="C17" s="40" t="s">
        <v>100</v>
      </c>
      <c r="D17" s="23">
        <f>Hoja6!J195</f>
        <v>1200</v>
      </c>
      <c r="E17" s="242">
        <f>Hoja6!G195</f>
        <v>572583.68190833321</v>
      </c>
      <c r="F17" s="243">
        <f t="shared" si="1"/>
        <v>687100418.28999984</v>
      </c>
      <c r="G17" s="235">
        <f t="shared" si="0"/>
        <v>318</v>
      </c>
      <c r="H17" s="41">
        <f t="shared" si="2"/>
        <v>218497933016.21994</v>
      </c>
      <c r="I17" s="15"/>
    </row>
    <row r="18" spans="1:71" ht="27" customHeight="1" x14ac:dyDescent="0.3">
      <c r="A18" s="16" t="s">
        <v>154</v>
      </c>
      <c r="B18" s="6" t="s">
        <v>280</v>
      </c>
      <c r="C18" s="40" t="s">
        <v>100</v>
      </c>
      <c r="D18" s="23">
        <f>Hoja6!J234</f>
        <v>1200</v>
      </c>
      <c r="E18" s="242">
        <f>Hoja6!G234</f>
        <v>658367.02498666651</v>
      </c>
      <c r="F18" s="243">
        <f t="shared" si="1"/>
        <v>790040429.98399985</v>
      </c>
      <c r="G18" s="235">
        <f t="shared" si="0"/>
        <v>318</v>
      </c>
      <c r="H18" s="41">
        <f t="shared" si="2"/>
        <v>251232856734.91196</v>
      </c>
      <c r="I18" s="15"/>
    </row>
    <row r="19" spans="1:71" ht="27" customHeight="1" x14ac:dyDescent="0.3">
      <c r="A19" s="16" t="s">
        <v>281</v>
      </c>
      <c r="B19" s="6" t="s">
        <v>286</v>
      </c>
      <c r="C19" s="40" t="s">
        <v>100</v>
      </c>
      <c r="D19" s="23">
        <v>31.02</v>
      </c>
      <c r="E19" s="242" t="e">
        <f>Hoja6!#REF!*305</f>
        <v>#REF!</v>
      </c>
      <c r="F19" s="243" t="e">
        <f t="shared" si="1"/>
        <v>#REF!</v>
      </c>
      <c r="G19" s="235">
        <f t="shared" si="0"/>
        <v>318</v>
      </c>
      <c r="H19" s="41" t="e">
        <f t="shared" si="2"/>
        <v>#REF!</v>
      </c>
      <c r="I19" s="15" t="e">
        <f>F19/203</f>
        <v>#REF!</v>
      </c>
    </row>
    <row r="20" spans="1:71" ht="27" customHeight="1" x14ac:dyDescent="0.3">
      <c r="A20" s="16" t="s">
        <v>282</v>
      </c>
      <c r="B20" s="6" t="s">
        <v>287</v>
      </c>
      <c r="C20" s="40" t="s">
        <v>100</v>
      </c>
      <c r="D20" s="23">
        <f>Hoja6!J273</f>
        <v>1200</v>
      </c>
      <c r="E20" s="242">
        <f>Hoja6!G273</f>
        <v>658367.02498666651</v>
      </c>
      <c r="F20" s="243">
        <f t="shared" si="1"/>
        <v>790040429.98399985</v>
      </c>
      <c r="G20" s="235">
        <f t="shared" si="0"/>
        <v>318</v>
      </c>
      <c r="H20" s="41">
        <f t="shared" si="2"/>
        <v>251232856734.91196</v>
      </c>
      <c r="I20" s="15"/>
    </row>
    <row r="21" spans="1:71" ht="27" customHeight="1" x14ac:dyDescent="0.3">
      <c r="A21" s="16" t="s">
        <v>283</v>
      </c>
      <c r="B21" s="6" t="s">
        <v>285</v>
      </c>
      <c r="C21" s="40" t="s">
        <v>100</v>
      </c>
      <c r="D21" s="23">
        <f>Hoja6!J312</f>
        <v>1200</v>
      </c>
      <c r="E21" s="242">
        <f>Hoja6!G312</f>
        <v>1597659.4032666667</v>
      </c>
      <c r="F21" s="243">
        <f t="shared" si="1"/>
        <v>1917191283.9200001</v>
      </c>
      <c r="G21" s="235">
        <f t="shared" si="0"/>
        <v>318</v>
      </c>
      <c r="H21" s="41">
        <f t="shared" si="2"/>
        <v>609666828286.56006</v>
      </c>
      <c r="I21" s="15"/>
    </row>
    <row r="22" spans="1:71" ht="27" customHeight="1" x14ac:dyDescent="0.3">
      <c r="A22" s="16" t="s">
        <v>284</v>
      </c>
      <c r="B22" s="6" t="s">
        <v>288</v>
      </c>
      <c r="C22" s="40" t="s">
        <v>100</v>
      </c>
      <c r="D22" s="23">
        <f>Hoja6!J351</f>
        <v>1200</v>
      </c>
      <c r="E22" s="242">
        <f>Hoja6!G351</f>
        <v>1112884.3217249999</v>
      </c>
      <c r="F22" s="243">
        <f t="shared" si="1"/>
        <v>1335461186.0699999</v>
      </c>
      <c r="G22" s="235">
        <f t="shared" si="0"/>
        <v>318</v>
      </c>
      <c r="H22" s="41">
        <f t="shared" si="2"/>
        <v>424676657170.25995</v>
      </c>
      <c r="I22" s="15"/>
    </row>
    <row r="23" spans="1:71" ht="28.5" customHeight="1" thickBot="1" x14ac:dyDescent="0.35">
      <c r="A23" s="17"/>
      <c r="B23" s="9"/>
      <c r="C23" s="10"/>
      <c r="D23" s="339" t="s">
        <v>7</v>
      </c>
      <c r="E23" s="339"/>
      <c r="F23" s="245" t="e">
        <f>SUM(F16:F22)</f>
        <v>#REF!</v>
      </c>
      <c r="I23" s="41">
        <f>SUM(H16:H17)</f>
        <v>218497980160.1496</v>
      </c>
    </row>
    <row r="24" spans="1:71" ht="28.5" hidden="1" customHeight="1" x14ac:dyDescent="0.3">
      <c r="A24" s="377" t="s">
        <v>149</v>
      </c>
      <c r="B24" s="378"/>
      <c r="C24" s="149"/>
      <c r="D24" s="150"/>
      <c r="E24" s="151"/>
      <c r="F24" s="152"/>
    </row>
    <row r="25" spans="1:71" ht="66" hidden="1" customHeight="1" x14ac:dyDescent="0.3">
      <c r="A25" s="144" t="s">
        <v>128</v>
      </c>
      <c r="B25" s="178" t="s">
        <v>150</v>
      </c>
      <c r="C25" s="179" t="s">
        <v>2</v>
      </c>
      <c r="D25" s="147"/>
      <c r="E25" s="181">
        <f>Hoja5!N12+Hoja5!N16+Hoja5!N17+650</f>
        <v>4590.5882352941171</v>
      </c>
      <c r="F25" s="174">
        <f>E25*D25</f>
        <v>0</v>
      </c>
    </row>
    <row r="26" spans="1:71" ht="28.5" hidden="1" customHeight="1" x14ac:dyDescent="0.3">
      <c r="A26" s="17"/>
      <c r="B26" s="9"/>
      <c r="C26" s="10"/>
      <c r="D26" s="339" t="s">
        <v>134</v>
      </c>
      <c r="E26" s="340"/>
      <c r="F26" s="176">
        <f>SUM(F25)</f>
        <v>0</v>
      </c>
      <c r="H26" s="177" t="e">
        <f>F26+F23+F14</f>
        <v>#REF!</v>
      </c>
      <c r="I26" s="141"/>
    </row>
    <row r="27" spans="1:71" s="2" customFormat="1" ht="28.5" hidden="1" customHeight="1" x14ac:dyDescent="0.3">
      <c r="A27" s="369" t="s">
        <v>155</v>
      </c>
      <c r="B27" s="370"/>
      <c r="C27" s="371"/>
      <c r="D27" s="371"/>
      <c r="E27" s="371"/>
      <c r="F27" s="372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</row>
    <row r="28" spans="1:71" ht="52.5" hidden="1" customHeight="1" x14ac:dyDescent="0.3">
      <c r="A28" s="144" t="s">
        <v>156</v>
      </c>
      <c r="B28" s="178" t="s">
        <v>142</v>
      </c>
      <c r="C28" s="179" t="s">
        <v>4</v>
      </c>
      <c r="D28" s="147"/>
      <c r="E28" s="181">
        <f>7298/204</f>
        <v>35.774509803921568</v>
      </c>
      <c r="F28" s="174">
        <f>E28*D28</f>
        <v>0</v>
      </c>
      <c r="I28" s="15">
        <f>F28</f>
        <v>0</v>
      </c>
    </row>
    <row r="29" spans="1:71" ht="46.5" hidden="1" customHeight="1" x14ac:dyDescent="0.3">
      <c r="A29" s="16" t="s">
        <v>129</v>
      </c>
      <c r="B29" s="6" t="s">
        <v>141</v>
      </c>
      <c r="C29" s="5" t="s">
        <v>4</v>
      </c>
      <c r="D29" s="23"/>
      <c r="E29" s="182">
        <f>6060/204</f>
        <v>29.705882352941178</v>
      </c>
      <c r="F29" s="175">
        <f>E29*D29</f>
        <v>0</v>
      </c>
      <c r="I29" s="15">
        <f>F29</f>
        <v>0</v>
      </c>
    </row>
    <row r="30" spans="1:71" ht="56.25" hidden="1" customHeight="1" x14ac:dyDescent="0.3">
      <c r="A30" s="16" t="s">
        <v>130</v>
      </c>
      <c r="B30" s="42" t="s">
        <v>205</v>
      </c>
      <c r="C30" s="139" t="s">
        <v>4</v>
      </c>
      <c r="D30" s="23"/>
      <c r="E30" s="182">
        <f>7203/204</f>
        <v>35.308823529411768</v>
      </c>
      <c r="F30" s="175">
        <f>E30*D30</f>
        <v>0</v>
      </c>
    </row>
    <row r="31" spans="1:71" ht="48.75" hidden="1" customHeight="1" x14ac:dyDescent="0.3">
      <c r="A31" s="16" t="s">
        <v>143</v>
      </c>
      <c r="B31" s="6" t="s">
        <v>151</v>
      </c>
      <c r="C31" s="5" t="s">
        <v>4</v>
      </c>
      <c r="D31" s="23"/>
      <c r="E31" s="182">
        <f>12030/308</f>
        <v>39.058441558441558</v>
      </c>
      <c r="F31" s="175">
        <f>E31*D31</f>
        <v>0</v>
      </c>
      <c r="H31" s="15">
        <f>E31/106.34</f>
        <v>0.36729773893588075</v>
      </c>
      <c r="I31" s="15"/>
    </row>
    <row r="32" spans="1:71" ht="17.25" hidden="1" customHeight="1" x14ac:dyDescent="0.3">
      <c r="A32" s="17"/>
      <c r="B32" s="9"/>
      <c r="C32" s="10"/>
      <c r="D32" s="339" t="s">
        <v>131</v>
      </c>
      <c r="E32" s="339"/>
      <c r="F32" s="176">
        <f>SUM(F28:F31)</f>
        <v>0</v>
      </c>
    </row>
    <row r="33" spans="1:71" s="2" customFormat="1" ht="28.5" hidden="1" customHeight="1" x14ac:dyDescent="0.3">
      <c r="A33" s="369" t="s">
        <v>157</v>
      </c>
      <c r="B33" s="370"/>
      <c r="C33" s="371"/>
      <c r="D33" s="371"/>
      <c r="E33" s="371"/>
      <c r="F33" s="372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</row>
    <row r="34" spans="1:71" ht="33.75" hidden="1" customHeight="1" x14ac:dyDescent="0.3">
      <c r="A34" s="144" t="s">
        <v>133</v>
      </c>
      <c r="B34" s="178" t="s">
        <v>140</v>
      </c>
      <c r="C34" s="183" t="s">
        <v>4</v>
      </c>
      <c r="D34" s="147"/>
      <c r="E34" s="181">
        <f>3500/308</f>
        <v>11.363636363636363</v>
      </c>
      <c r="F34" s="174">
        <f>E34*D34</f>
        <v>0</v>
      </c>
      <c r="H34" s="187"/>
      <c r="I34" s="15"/>
    </row>
    <row r="35" spans="1:71" ht="47.25" hidden="1" customHeight="1" x14ac:dyDescent="0.3">
      <c r="A35" s="16" t="s">
        <v>158</v>
      </c>
      <c r="B35" s="6" t="s">
        <v>152</v>
      </c>
      <c r="C35" s="139" t="s">
        <v>4</v>
      </c>
      <c r="D35" s="23"/>
      <c r="E35" s="182">
        <f>E34</f>
        <v>11.363636363636363</v>
      </c>
      <c r="F35" s="175">
        <f>E35*D35</f>
        <v>0</v>
      </c>
    </row>
    <row r="36" spans="1:71" ht="34.5" hidden="1" customHeight="1" x14ac:dyDescent="0.3">
      <c r="A36" s="16" t="s">
        <v>159</v>
      </c>
      <c r="B36" s="6" t="s">
        <v>153</v>
      </c>
      <c r="C36" s="139" t="s">
        <v>4</v>
      </c>
      <c r="D36" s="23"/>
      <c r="E36" s="182">
        <f>3920/308</f>
        <v>12.727272727272727</v>
      </c>
      <c r="F36" s="175">
        <f>E36*D36</f>
        <v>0</v>
      </c>
    </row>
    <row r="37" spans="1:71" ht="34.5" hidden="1" customHeight="1" x14ac:dyDescent="0.3">
      <c r="A37" s="16" t="s">
        <v>159</v>
      </c>
      <c r="B37" s="6" t="s">
        <v>224</v>
      </c>
      <c r="C37" s="139" t="s">
        <v>4</v>
      </c>
      <c r="D37" s="23"/>
      <c r="E37" s="182">
        <f>2900/308</f>
        <v>9.4155844155844157</v>
      </c>
      <c r="F37" s="175">
        <f>E37*D37</f>
        <v>0</v>
      </c>
    </row>
    <row r="38" spans="1:71" ht="34.5" hidden="1" customHeight="1" x14ac:dyDescent="0.3">
      <c r="A38" s="16" t="s">
        <v>159</v>
      </c>
      <c r="B38" s="6" t="s">
        <v>225</v>
      </c>
      <c r="C38" s="139" t="s">
        <v>4</v>
      </c>
      <c r="D38" s="23"/>
      <c r="E38" s="182">
        <f>2920/308</f>
        <v>9.4805194805194812</v>
      </c>
      <c r="F38" s="175">
        <f>E38*D38</f>
        <v>0</v>
      </c>
    </row>
    <row r="39" spans="1:71" ht="28.5" hidden="1" customHeight="1" x14ac:dyDescent="0.3">
      <c r="A39" s="17"/>
      <c r="B39" s="9"/>
      <c r="C39" s="10"/>
      <c r="D39" s="339" t="s">
        <v>163</v>
      </c>
      <c r="E39" s="340"/>
      <c r="F39" s="176">
        <f>SUM(F34:F38)</f>
        <v>0</v>
      </c>
      <c r="I39" s="15">
        <f>F39</f>
        <v>0</v>
      </c>
    </row>
    <row r="40" spans="1:71" ht="23.25" hidden="1" customHeight="1" x14ac:dyDescent="0.3">
      <c r="A40" s="366" t="s">
        <v>206</v>
      </c>
      <c r="B40" s="367"/>
      <c r="C40" s="367"/>
      <c r="D40" s="367"/>
      <c r="E40" s="367"/>
      <c r="F40" s="368"/>
    </row>
    <row r="41" spans="1:71" ht="23.25" hidden="1" customHeight="1" x14ac:dyDescent="0.3">
      <c r="A41" s="144" t="s">
        <v>133</v>
      </c>
      <c r="B41" s="178" t="s">
        <v>223</v>
      </c>
      <c r="C41" s="179" t="s">
        <v>4</v>
      </c>
      <c r="D41" s="184"/>
      <c r="E41" s="30">
        <f>6800/308</f>
        <v>22.077922077922079</v>
      </c>
      <c r="F41" s="148">
        <f>E41*D41</f>
        <v>0</v>
      </c>
    </row>
    <row r="42" spans="1:71" ht="23.25" hidden="1" customHeight="1" x14ac:dyDescent="0.3">
      <c r="A42" s="16" t="s">
        <v>158</v>
      </c>
      <c r="B42" s="6" t="s">
        <v>222</v>
      </c>
      <c r="C42" s="5"/>
      <c r="D42" s="185"/>
      <c r="E42" s="27"/>
      <c r="F42" s="14"/>
    </row>
    <row r="43" spans="1:71" ht="23.25" hidden="1" customHeight="1" x14ac:dyDescent="0.3">
      <c r="A43" s="16" t="s">
        <v>159</v>
      </c>
      <c r="B43" s="6" t="s">
        <v>221</v>
      </c>
      <c r="C43" s="3"/>
      <c r="D43" s="185"/>
      <c r="F43" s="14"/>
    </row>
    <row r="44" spans="1:71" ht="20.25" hidden="1" customHeight="1" x14ac:dyDescent="0.3">
      <c r="A44" s="17"/>
      <c r="B44" s="9"/>
      <c r="C44" s="10"/>
      <c r="D44" s="339" t="s">
        <v>163</v>
      </c>
      <c r="E44" s="339"/>
      <c r="F44" s="186">
        <f>SUM(F41:F43)</f>
        <v>0</v>
      </c>
    </row>
    <row r="45" spans="1:71" ht="23.25" hidden="1" customHeight="1" x14ac:dyDescent="0.3">
      <c r="A45" s="369" t="s">
        <v>207</v>
      </c>
      <c r="B45" s="370"/>
      <c r="C45" s="371"/>
      <c r="D45" s="371"/>
      <c r="E45" s="371"/>
      <c r="F45" s="372"/>
    </row>
    <row r="46" spans="1:71" ht="23.25" hidden="1" customHeight="1" x14ac:dyDescent="0.3">
      <c r="A46" s="16" t="s">
        <v>162</v>
      </c>
      <c r="B46" s="6" t="s">
        <v>220</v>
      </c>
      <c r="C46" s="139" t="s">
        <v>2</v>
      </c>
      <c r="D46" s="23"/>
      <c r="E46" s="182">
        <f>25000*9/204</f>
        <v>1102.9411764705883</v>
      </c>
      <c r="F46" s="175">
        <f>E46*D46</f>
        <v>0</v>
      </c>
      <c r="H46" s="15"/>
    </row>
    <row r="47" spans="1:71" ht="23.25" hidden="1" customHeight="1" x14ac:dyDescent="0.3">
      <c r="A47" s="16" t="s">
        <v>208</v>
      </c>
      <c r="B47" s="6" t="s">
        <v>209</v>
      </c>
      <c r="C47" s="139" t="s">
        <v>2</v>
      </c>
      <c r="D47" s="23"/>
      <c r="E47" s="182">
        <f>14*20000/204</f>
        <v>1372.5490196078431</v>
      </c>
      <c r="F47" s="175">
        <f>E47*D47</f>
        <v>0</v>
      </c>
    </row>
    <row r="48" spans="1:71" ht="23.25" hidden="1" customHeight="1" x14ac:dyDescent="0.3">
      <c r="A48" s="16" t="s">
        <v>210</v>
      </c>
      <c r="B48" s="6" t="s">
        <v>211</v>
      </c>
      <c r="C48" s="139" t="s">
        <v>2</v>
      </c>
      <c r="D48" s="23"/>
      <c r="E48" s="182">
        <f>772500/308</f>
        <v>2508.1168831168829</v>
      </c>
      <c r="F48" s="175">
        <f>E48*D48</f>
        <v>0</v>
      </c>
    </row>
    <row r="49" spans="1:125" ht="23.25" hidden="1" customHeight="1" x14ac:dyDescent="0.3">
      <c r="A49" s="16" t="s">
        <v>218</v>
      </c>
      <c r="B49" s="6" t="s">
        <v>219</v>
      </c>
      <c r="C49" s="139" t="s">
        <v>2</v>
      </c>
      <c r="D49" s="23"/>
      <c r="E49" s="182">
        <f>620000/308</f>
        <v>2012.987012987013</v>
      </c>
      <c r="F49" s="175">
        <f>E49*D49</f>
        <v>0</v>
      </c>
    </row>
    <row r="50" spans="1:125" ht="23.25" hidden="1" customHeight="1" x14ac:dyDescent="0.3">
      <c r="A50" s="17"/>
      <c r="B50" s="9"/>
      <c r="C50" s="10"/>
      <c r="D50" s="339" t="s">
        <v>163</v>
      </c>
      <c r="E50" s="340"/>
      <c r="F50" s="176">
        <f>SUM(F46:F48)</f>
        <v>0</v>
      </c>
    </row>
    <row r="51" spans="1:125" s="2" customFormat="1" ht="23.25" hidden="1" customHeight="1" x14ac:dyDescent="0.3">
      <c r="A51" s="369" t="s">
        <v>212</v>
      </c>
      <c r="B51" s="370"/>
      <c r="C51" s="370"/>
      <c r="D51" s="370"/>
      <c r="E51" s="370"/>
      <c r="F51" s="373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</row>
    <row r="52" spans="1:125" ht="25.5" hidden="1" customHeight="1" x14ac:dyDescent="0.3">
      <c r="A52" s="16" t="s">
        <v>213</v>
      </c>
      <c r="B52" s="6" t="s">
        <v>214</v>
      </c>
      <c r="C52" s="5" t="s">
        <v>24</v>
      </c>
      <c r="D52" s="23"/>
      <c r="E52" s="182">
        <f>3820/308</f>
        <v>12.402597402597403</v>
      </c>
      <c r="F52" s="175">
        <f>E52*D52</f>
        <v>0</v>
      </c>
    </row>
    <row r="53" spans="1:125" ht="25.5" hidden="1" customHeight="1" x14ac:dyDescent="0.3">
      <c r="A53" s="16" t="s">
        <v>215</v>
      </c>
      <c r="B53" s="6" t="s">
        <v>216</v>
      </c>
      <c r="C53" s="5" t="s">
        <v>24</v>
      </c>
      <c r="D53" s="23"/>
      <c r="E53" s="182">
        <f>3820/308</f>
        <v>12.402597402597403</v>
      </c>
      <c r="F53" s="175">
        <f>E53*D53</f>
        <v>0</v>
      </c>
    </row>
    <row r="54" spans="1:125" ht="25.5" hidden="1" customHeight="1" x14ac:dyDescent="0.3">
      <c r="A54" s="16" t="s">
        <v>160</v>
      </c>
      <c r="B54" s="6" t="s">
        <v>145</v>
      </c>
      <c r="C54" s="139" t="s">
        <v>24</v>
      </c>
      <c r="D54" s="23"/>
      <c r="E54" s="182">
        <f>3500/308</f>
        <v>11.363636363636363</v>
      </c>
      <c r="F54" s="175">
        <f>E54*D54</f>
        <v>0</v>
      </c>
    </row>
    <row r="55" spans="1:125" ht="20.25" hidden="1" customHeight="1" x14ac:dyDescent="0.3">
      <c r="A55" s="17"/>
      <c r="B55" s="9"/>
      <c r="C55" s="10"/>
      <c r="D55" s="339" t="s">
        <v>217</v>
      </c>
      <c r="E55" s="340"/>
      <c r="F55" s="180">
        <f>SUM(F52:F54)</f>
        <v>0</v>
      </c>
    </row>
    <row r="56" spans="1:125" s="2" customFormat="1" ht="28.5" hidden="1" customHeight="1" x14ac:dyDescent="0.3">
      <c r="A56" s="360" t="s">
        <v>161</v>
      </c>
      <c r="B56" s="361"/>
      <c r="C56" s="134"/>
      <c r="D56" s="135"/>
      <c r="E56" s="136"/>
      <c r="F56" s="137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</row>
    <row r="57" spans="1:125" ht="27" hidden="1" customHeight="1" x14ac:dyDescent="0.3">
      <c r="A57" s="16" t="s">
        <v>162</v>
      </c>
      <c r="B57" s="138" t="s">
        <v>144</v>
      </c>
      <c r="C57" s="139" t="s">
        <v>2</v>
      </c>
      <c r="D57" s="23"/>
      <c r="E57" s="182">
        <f>(6*22.5*0.4*6500)/308</f>
        <v>1139.6103896103896</v>
      </c>
      <c r="F57" s="175">
        <f>E57*D57</f>
        <v>0</v>
      </c>
      <c r="H57" s="15">
        <f>E57/308</f>
        <v>3.7000337325012649</v>
      </c>
    </row>
    <row r="58" spans="1:125" ht="28.5" hidden="1" customHeight="1" x14ac:dyDescent="0.3">
      <c r="A58" s="17"/>
      <c r="B58" s="9"/>
      <c r="C58" s="10"/>
      <c r="D58" s="339" t="s">
        <v>132</v>
      </c>
      <c r="E58" s="340"/>
      <c r="F58" s="180">
        <f>SUM(F57:F57)</f>
        <v>0</v>
      </c>
      <c r="I58" s="141" t="e">
        <f>F60/110</f>
        <v>#REF!</v>
      </c>
      <c r="J58" s="141" t="e">
        <f>I58/80.37</f>
        <v>#REF!</v>
      </c>
    </row>
    <row r="59" spans="1:125" ht="14.25" customHeight="1" thickBot="1" x14ac:dyDescent="0.35">
      <c r="A59" s="3"/>
      <c r="B59" s="1"/>
      <c r="C59" s="4"/>
      <c r="D59" s="23"/>
      <c r="E59" s="27"/>
      <c r="F59" s="11"/>
    </row>
    <row r="60" spans="1:125" ht="41.25" customHeight="1" thickBot="1" x14ac:dyDescent="0.35">
      <c r="A60" s="362" t="s">
        <v>5</v>
      </c>
      <c r="B60" s="363"/>
      <c r="C60" s="363"/>
      <c r="D60" s="363"/>
      <c r="E60" s="28"/>
      <c r="F60" s="246" t="e">
        <f>SUM(F23+F14)</f>
        <v>#REF!</v>
      </c>
      <c r="G60" s="235">
        <f>G16</f>
        <v>318</v>
      </c>
      <c r="H60" s="15" t="e">
        <f>SUM(H11:H23)</f>
        <v>#REF!</v>
      </c>
      <c r="I60" s="15" t="e">
        <f>F60*0.06</f>
        <v>#REF!</v>
      </c>
      <c r="J60" t="e">
        <f>F60/H60</f>
        <v>#REF!</v>
      </c>
    </row>
    <row r="61" spans="1:125" ht="1.5" customHeight="1" x14ac:dyDescent="0.3">
      <c r="A61" s="7"/>
      <c r="B61" s="364"/>
      <c r="C61" s="365"/>
      <c r="D61" s="365"/>
      <c r="E61" s="29"/>
      <c r="F61" s="12"/>
    </row>
    <row r="62" spans="1:125" ht="33" customHeight="1" x14ac:dyDescent="0.3">
      <c r="A62" s="333" t="s">
        <v>8</v>
      </c>
      <c r="B62" s="333"/>
      <c r="C62" s="333"/>
      <c r="D62" s="333"/>
      <c r="E62" s="333"/>
      <c r="F62" s="333"/>
    </row>
    <row r="63" spans="1:125" ht="33" customHeight="1" x14ac:dyDescent="0.3">
      <c r="A63" s="334" t="s">
        <v>290</v>
      </c>
      <c r="B63" s="334"/>
      <c r="C63" s="334"/>
      <c r="D63" s="334"/>
      <c r="E63" s="334"/>
      <c r="F63" s="334"/>
      <c r="H63" s="15" t="e">
        <f>F60/309.24</f>
        <v>#REF!</v>
      </c>
      <c r="I63" s="15" t="e">
        <f>H63/112</f>
        <v>#REF!</v>
      </c>
    </row>
    <row r="64" spans="1:125" s="8" customFormat="1" ht="33" customHeight="1" x14ac:dyDescent="0.3">
      <c r="A64" s="333" t="s">
        <v>9</v>
      </c>
      <c r="B64" s="333"/>
      <c r="C64" s="333"/>
      <c r="D64" s="333"/>
      <c r="E64" s="333"/>
      <c r="F64" s="333"/>
    </row>
    <row r="65" spans="1:11" s="8" customFormat="1" ht="33" customHeight="1" x14ac:dyDescent="0.3">
      <c r="A65" s="333" t="s">
        <v>137</v>
      </c>
      <c r="B65" s="333"/>
      <c r="C65" s="333"/>
      <c r="D65" s="333"/>
      <c r="E65" s="333"/>
      <c r="F65" s="333"/>
    </row>
    <row r="66" spans="1:11" ht="9.75" customHeight="1" x14ac:dyDescent="0.3"/>
    <row r="67" spans="1:11" ht="30" customHeight="1" x14ac:dyDescent="0.35">
      <c r="A67" s="359" t="s">
        <v>139</v>
      </c>
      <c r="B67" s="357"/>
      <c r="C67" s="19"/>
      <c r="D67" s="24"/>
      <c r="E67" s="31" t="s">
        <v>11</v>
      </c>
      <c r="F67" s="21" t="e">
        <f>F60</f>
        <v>#REF!</v>
      </c>
    </row>
    <row r="68" spans="1:11" ht="30" customHeight="1" x14ac:dyDescent="0.35">
      <c r="A68" s="356" t="s">
        <v>138</v>
      </c>
      <c r="B68" s="357"/>
      <c r="C68" s="20">
        <v>203</v>
      </c>
      <c r="D68" s="25"/>
      <c r="E68" s="32"/>
      <c r="F68" s="22" t="e">
        <f>F67/C68</f>
        <v>#REF!</v>
      </c>
      <c r="H68">
        <v>51446.32</v>
      </c>
      <c r="I68" t="e">
        <f>SUM(I13:I58)</f>
        <v>#REF!</v>
      </c>
      <c r="J68" t="e">
        <f>I68/160</f>
        <v>#REF!</v>
      </c>
      <c r="K68" t="e">
        <f>J68/196</f>
        <v>#REF!</v>
      </c>
    </row>
    <row r="70" spans="1:11" ht="99.75" customHeight="1" x14ac:dyDescent="0.3">
      <c r="F70" s="13">
        <v>116697.23</v>
      </c>
      <c r="I70" t="e">
        <f>I68*3</f>
        <v>#REF!</v>
      </c>
      <c r="J70" t="e">
        <f>I70/160</f>
        <v>#REF!</v>
      </c>
      <c r="K70" t="e">
        <f>J70/196</f>
        <v>#REF!</v>
      </c>
    </row>
    <row r="71" spans="1:11" ht="210" customHeight="1" x14ac:dyDescent="0.3">
      <c r="A71" s="358" t="s">
        <v>10</v>
      </c>
      <c r="B71" s="358"/>
      <c r="C71" s="358"/>
      <c r="D71" s="358"/>
      <c r="E71" s="358"/>
      <c r="F71" s="358"/>
    </row>
  </sheetData>
  <mergeCells count="35">
    <mergeCell ref="B6:F6"/>
    <mergeCell ref="A7:F7"/>
    <mergeCell ref="A8:F8"/>
    <mergeCell ref="A1:F1"/>
    <mergeCell ref="A2:F2"/>
    <mergeCell ref="A3:F3"/>
    <mergeCell ref="A4:F4"/>
    <mergeCell ref="A5:E5"/>
    <mergeCell ref="A10:B10"/>
    <mergeCell ref="D14:E14"/>
    <mergeCell ref="A15:E15"/>
    <mergeCell ref="D23:E23"/>
    <mergeCell ref="A24:B24"/>
    <mergeCell ref="D26:E26"/>
    <mergeCell ref="A27:F27"/>
    <mergeCell ref="D32:E32"/>
    <mergeCell ref="A33:F33"/>
    <mergeCell ref="D39:E39"/>
    <mergeCell ref="A40:F40"/>
    <mergeCell ref="D44:E44"/>
    <mergeCell ref="A45:F45"/>
    <mergeCell ref="D50:E50"/>
    <mergeCell ref="A51:F51"/>
    <mergeCell ref="D55:E55"/>
    <mergeCell ref="A56:B56"/>
    <mergeCell ref="D58:E58"/>
    <mergeCell ref="A60:D60"/>
    <mergeCell ref="B61:D61"/>
    <mergeCell ref="A68:B68"/>
    <mergeCell ref="A71:F71"/>
    <mergeCell ref="A62:F62"/>
    <mergeCell ref="A63:F63"/>
    <mergeCell ref="A64:F64"/>
    <mergeCell ref="A65:F65"/>
    <mergeCell ref="A67:B6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D2E5-5C73-410B-8A7E-3470451A6862}">
  <dimension ref="A2:C16"/>
  <sheetViews>
    <sheetView workbookViewId="0">
      <selection activeCell="C16" sqref="C16"/>
    </sheetView>
  </sheetViews>
  <sheetFormatPr baseColWidth="10" defaultColWidth="11.44140625" defaultRowHeight="14.4" x14ac:dyDescent="0.3"/>
  <cols>
    <col min="1" max="1" width="38.5546875" style="272" customWidth="1"/>
    <col min="2" max="2" width="11.44140625" style="45"/>
    <col min="3" max="3" width="17.33203125" style="51" customWidth="1"/>
    <col min="4" max="16384" width="11.44140625" style="45"/>
  </cols>
  <sheetData>
    <row r="2" spans="1:3" x14ac:dyDescent="0.3">
      <c r="A2" s="45" t="s">
        <v>365</v>
      </c>
      <c r="B2" s="45" t="s">
        <v>366</v>
      </c>
      <c r="C2" s="51" t="s">
        <v>367</v>
      </c>
    </row>
    <row r="3" spans="1:3" x14ac:dyDescent="0.3">
      <c r="A3" s="272" t="s">
        <v>368</v>
      </c>
      <c r="B3" s="273">
        <v>44942</v>
      </c>
      <c r="C3" s="51">
        <v>4073</v>
      </c>
    </row>
    <row r="4" spans="1:3" x14ac:dyDescent="0.3">
      <c r="A4" s="272" t="s">
        <v>369</v>
      </c>
      <c r="B4" s="273">
        <v>44958</v>
      </c>
      <c r="C4" s="51">
        <v>10600</v>
      </c>
    </row>
    <row r="5" spans="1:3" x14ac:dyDescent="0.3">
      <c r="A5" s="272" t="s">
        <v>370</v>
      </c>
      <c r="B5" s="273">
        <v>44971</v>
      </c>
      <c r="C5" s="51">
        <v>13750</v>
      </c>
    </row>
    <row r="6" spans="1:3" x14ac:dyDescent="0.3">
      <c r="A6" s="272" t="s">
        <v>371</v>
      </c>
      <c r="B6" s="273">
        <v>44971</v>
      </c>
      <c r="C6" s="51">
        <v>1400</v>
      </c>
    </row>
    <row r="7" spans="1:3" x14ac:dyDescent="0.3">
      <c r="A7" s="272" t="s">
        <v>373</v>
      </c>
      <c r="B7" s="273">
        <v>44971</v>
      </c>
      <c r="C7" s="51">
        <v>4141.4399999999996</v>
      </c>
    </row>
    <row r="8" spans="1:3" x14ac:dyDescent="0.3">
      <c r="A8" s="272" t="s">
        <v>372</v>
      </c>
      <c r="B8" s="273">
        <v>44974</v>
      </c>
      <c r="C8" s="51">
        <v>6000</v>
      </c>
    </row>
    <row r="9" spans="1:3" x14ac:dyDescent="0.3">
      <c r="A9" s="272" t="s">
        <v>371</v>
      </c>
      <c r="B9" s="273">
        <v>44979</v>
      </c>
      <c r="C9" s="51">
        <v>3000</v>
      </c>
    </row>
    <row r="10" spans="1:3" x14ac:dyDescent="0.3">
      <c r="A10" s="272" t="s">
        <v>374</v>
      </c>
      <c r="B10" s="273">
        <v>44985</v>
      </c>
      <c r="C10" s="51">
        <v>1900</v>
      </c>
    </row>
    <row r="11" spans="1:3" x14ac:dyDescent="0.3">
      <c r="A11" s="272" t="s">
        <v>374</v>
      </c>
      <c r="B11" s="273">
        <v>44999</v>
      </c>
      <c r="C11" s="51">
        <v>4750</v>
      </c>
    </row>
    <row r="16" spans="1:3" x14ac:dyDescent="0.3">
      <c r="C16" s="51">
        <f>SUM(C3:C15)</f>
        <v>49614.44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33"/>
  <sheetViews>
    <sheetView workbookViewId="0">
      <selection activeCell="F10" sqref="F10"/>
    </sheetView>
  </sheetViews>
  <sheetFormatPr baseColWidth="10" defaultColWidth="11.44140625" defaultRowHeight="14.4" x14ac:dyDescent="0.3"/>
  <cols>
    <col min="1" max="2" width="11.44140625" style="8"/>
    <col min="3" max="3" width="13.109375" style="8" bestFit="1" customWidth="1"/>
    <col min="4" max="4" width="11.44140625" style="8"/>
    <col min="5" max="5" width="30.88671875" style="8" customWidth="1"/>
    <col min="6" max="6" width="18.44140625" style="8" customWidth="1"/>
    <col min="7" max="7" width="14.5546875" style="8" bestFit="1" customWidth="1"/>
    <col min="8" max="16384" width="11.44140625" style="8"/>
  </cols>
  <sheetData>
    <row r="2" spans="1:12" x14ac:dyDescent="0.3">
      <c r="E2" s="8" t="s">
        <v>36</v>
      </c>
      <c r="F2" s="8">
        <v>18.5</v>
      </c>
    </row>
    <row r="3" spans="1:12" x14ac:dyDescent="0.3">
      <c r="E3" s="8" t="s">
        <v>24</v>
      </c>
      <c r="F3" s="8">
        <v>119.3</v>
      </c>
    </row>
    <row r="5" spans="1:12" ht="30.75" customHeight="1" x14ac:dyDescent="0.3">
      <c r="E5" s="42" t="s">
        <v>44</v>
      </c>
      <c r="F5" s="43">
        <v>50000</v>
      </c>
    </row>
    <row r="6" spans="1:12" x14ac:dyDescent="0.3">
      <c r="E6" s="8" t="s">
        <v>39</v>
      </c>
      <c r="F6" s="43">
        <v>0</v>
      </c>
    </row>
    <row r="7" spans="1:12" x14ac:dyDescent="0.3">
      <c r="C7" s="43"/>
      <c r="E7" s="8" t="s">
        <v>40</v>
      </c>
      <c r="F7" s="43">
        <f>(7000+5000)*5</f>
        <v>60000</v>
      </c>
    </row>
    <row r="8" spans="1:12" x14ac:dyDescent="0.3">
      <c r="A8" s="382" t="s">
        <v>47</v>
      </c>
      <c r="B8" s="382"/>
      <c r="C8" s="43">
        <f>F8/F3</f>
        <v>3300</v>
      </c>
      <c r="E8" s="8" t="s">
        <v>37</v>
      </c>
      <c r="F8" s="43">
        <f>F3*3300</f>
        <v>393690</v>
      </c>
      <c r="G8" s="43"/>
      <c r="I8" s="8">
        <v>6</v>
      </c>
      <c r="J8" s="8">
        <v>8</v>
      </c>
      <c r="K8" s="8">
        <v>10</v>
      </c>
    </row>
    <row r="9" spans="1:12" x14ac:dyDescent="0.3">
      <c r="A9" s="382" t="s">
        <v>48</v>
      </c>
      <c r="B9" s="382"/>
      <c r="C9" s="43">
        <f>F8/F2</f>
        <v>21280.54054054054</v>
      </c>
      <c r="E9" s="8" t="s">
        <v>38</v>
      </c>
      <c r="F9" s="43">
        <f>SUM(L14:L22)</f>
        <v>494413.64333333331</v>
      </c>
      <c r="G9" s="43"/>
      <c r="I9" s="8">
        <f>209.47/12</f>
        <v>17.455833333333334</v>
      </c>
      <c r="J9" s="8">
        <f>2110.66/12</f>
        <v>175.88833333333332</v>
      </c>
      <c r="K9" s="8">
        <f>24.82/12</f>
        <v>2.0683333333333334</v>
      </c>
    </row>
    <row r="10" spans="1:12" ht="24" customHeight="1" x14ac:dyDescent="0.3">
      <c r="C10" s="43"/>
      <c r="E10" s="8" t="s">
        <v>41</v>
      </c>
      <c r="F10" s="43">
        <f>SUM(F8:F9)</f>
        <v>888103.64333333331</v>
      </c>
      <c r="I10" s="43">
        <v>633</v>
      </c>
      <c r="J10" s="43">
        <v>1100.5</v>
      </c>
      <c r="K10" s="43">
        <v>1719</v>
      </c>
    </row>
    <row r="11" spans="1:12" x14ac:dyDescent="0.3">
      <c r="F11" s="43"/>
      <c r="I11" s="43"/>
      <c r="J11" s="43"/>
      <c r="K11" s="43"/>
    </row>
    <row r="12" spans="1:12" x14ac:dyDescent="0.3">
      <c r="E12" s="8" t="s">
        <v>32</v>
      </c>
      <c r="F12" s="44">
        <f>F10*0.15</f>
        <v>133215.5465</v>
      </c>
    </row>
    <row r="13" spans="1:12" x14ac:dyDescent="0.3">
      <c r="F13" s="43">
        <f>F12+F10</f>
        <v>1021319.1898333333</v>
      </c>
    </row>
    <row r="14" spans="1:12" ht="43.2" x14ac:dyDescent="0.3">
      <c r="C14" s="43">
        <f>F14+F12</f>
        <v>439611.30344999995</v>
      </c>
      <c r="E14" s="42" t="s">
        <v>49</v>
      </c>
      <c r="F14" s="44">
        <f>F13*0.3</f>
        <v>306395.75694999995</v>
      </c>
      <c r="H14" s="8" t="s">
        <v>27</v>
      </c>
      <c r="I14" s="43">
        <f>I10*I9</f>
        <v>11049.542500000001</v>
      </c>
      <c r="J14" s="43">
        <f>J10*J9</f>
        <v>193565.11083333331</v>
      </c>
      <c r="K14" s="43">
        <f>K10*K9</f>
        <v>3555.4650000000001</v>
      </c>
      <c r="L14" s="43">
        <f>SUM(I14:K14)</f>
        <v>208170.11833333332</v>
      </c>
    </row>
    <row r="15" spans="1:12" x14ac:dyDescent="0.3">
      <c r="E15" s="42"/>
      <c r="F15" s="43">
        <f>F13+F14</f>
        <v>1327714.9467833331</v>
      </c>
      <c r="G15" s="50">
        <f>F10*1.45</f>
        <v>1287750.2828333334</v>
      </c>
      <c r="I15" s="43"/>
      <c r="J15" s="43"/>
      <c r="K15" s="43"/>
      <c r="L15" s="43"/>
    </row>
    <row r="16" spans="1:12" x14ac:dyDescent="0.3">
      <c r="E16" s="42"/>
      <c r="F16" s="43"/>
      <c r="I16" s="43"/>
      <c r="J16" s="43"/>
      <c r="K16" s="43"/>
      <c r="L16" s="43"/>
    </row>
    <row r="17" spans="1:12" x14ac:dyDescent="0.3">
      <c r="I17" s="43"/>
      <c r="J17" s="43"/>
      <c r="K17" s="43"/>
      <c r="L17" s="43"/>
    </row>
    <row r="18" spans="1:12" x14ac:dyDescent="0.3">
      <c r="E18" s="42"/>
      <c r="F18" s="43"/>
      <c r="I18" s="43"/>
      <c r="J18" s="43"/>
      <c r="K18" s="43"/>
      <c r="L18" s="43"/>
    </row>
    <row r="19" spans="1:12" x14ac:dyDescent="0.3">
      <c r="E19" s="8" t="s">
        <v>33</v>
      </c>
      <c r="F19" s="43">
        <f>F15*0.03</f>
        <v>39831.448403499991</v>
      </c>
      <c r="H19" s="8" t="s">
        <v>28</v>
      </c>
      <c r="J19" s="43">
        <v>14000</v>
      </c>
      <c r="K19" s="8">
        <v>18.5</v>
      </c>
      <c r="L19" s="43">
        <f>K19*J19</f>
        <v>259000</v>
      </c>
    </row>
    <row r="20" spans="1:12" x14ac:dyDescent="0.3">
      <c r="E20" s="8" t="s">
        <v>34</v>
      </c>
      <c r="F20" s="43">
        <f>F14*0.35</f>
        <v>107238.51493249998</v>
      </c>
      <c r="H20" s="8" t="s">
        <v>29</v>
      </c>
      <c r="J20" s="8">
        <v>368</v>
      </c>
      <c r="K20" s="8">
        <v>10</v>
      </c>
      <c r="L20" s="43">
        <f t="shared" ref="L20:L21" si="0">K20*J20</f>
        <v>3680</v>
      </c>
    </row>
    <row r="21" spans="1:12" x14ac:dyDescent="0.3">
      <c r="B21" s="8" t="s">
        <v>46</v>
      </c>
      <c r="C21" s="43">
        <f>F22/F2</f>
        <v>79718.103249693682</v>
      </c>
      <c r="H21" s="8" t="s">
        <v>30</v>
      </c>
      <c r="J21" s="8">
        <v>544</v>
      </c>
      <c r="K21" s="8">
        <v>10</v>
      </c>
      <c r="L21" s="43">
        <f t="shared" si="0"/>
        <v>5440</v>
      </c>
    </row>
    <row r="22" spans="1:12" x14ac:dyDescent="0.3">
      <c r="E22" s="8" t="s">
        <v>35</v>
      </c>
      <c r="F22" s="43">
        <f>F20+F19+F15</f>
        <v>1474784.9101193331</v>
      </c>
      <c r="H22" s="8" t="s">
        <v>31</v>
      </c>
      <c r="I22" s="8">
        <v>33.299999999999997</v>
      </c>
      <c r="J22" s="8">
        <v>0.35</v>
      </c>
      <c r="K22" s="8">
        <v>1555</v>
      </c>
      <c r="L22" s="8">
        <f>K22*J22*I22</f>
        <v>18123.524999999998</v>
      </c>
    </row>
    <row r="23" spans="1:12" x14ac:dyDescent="0.3">
      <c r="B23" s="8" t="s">
        <v>45</v>
      </c>
      <c r="C23" s="43">
        <f>F22/F3</f>
        <v>12361.98583503213</v>
      </c>
    </row>
    <row r="24" spans="1:12" x14ac:dyDescent="0.3">
      <c r="E24" s="8" t="s">
        <v>43</v>
      </c>
      <c r="F24" s="43">
        <f>F28+F19+F20</f>
        <v>980371.26678599976</v>
      </c>
    </row>
    <row r="26" spans="1:12" x14ac:dyDescent="0.3">
      <c r="F26" s="43">
        <f>F24-F20-F19</f>
        <v>833301.30344999977</v>
      </c>
      <c r="H26" s="43">
        <f>F26/119.3</f>
        <v>6984.9229124056983</v>
      </c>
    </row>
    <row r="28" spans="1:12" s="45" customFormat="1" ht="27" customHeight="1" x14ac:dyDescent="0.3">
      <c r="A28" s="383" t="s">
        <v>50</v>
      </c>
      <c r="B28" s="383"/>
      <c r="C28" s="46">
        <f>F28/F3</f>
        <v>6984.9229124056983</v>
      </c>
      <c r="E28" s="49" t="s">
        <v>42</v>
      </c>
      <c r="F28" s="48">
        <f>F15-F9</f>
        <v>833301.30344999977</v>
      </c>
    </row>
    <row r="29" spans="1:12" s="45" customFormat="1" ht="27" customHeight="1" x14ac:dyDescent="0.3">
      <c r="A29" s="383" t="s">
        <v>50</v>
      </c>
      <c r="B29" s="383"/>
      <c r="C29" s="47">
        <f>F28/F2</f>
        <v>45043.313699999984</v>
      </c>
      <c r="G29" s="51">
        <f>F28-F8</f>
        <v>439611.30344999977</v>
      </c>
    </row>
    <row r="31" spans="1:12" x14ac:dyDescent="0.3">
      <c r="C31" s="43"/>
    </row>
    <row r="32" spans="1:12" x14ac:dyDescent="0.3">
      <c r="C32" s="43"/>
      <c r="G32" s="43"/>
    </row>
    <row r="33" spans="3:3" x14ac:dyDescent="0.3">
      <c r="C33" s="43"/>
    </row>
  </sheetData>
  <mergeCells count="4">
    <mergeCell ref="A8:B8"/>
    <mergeCell ref="A9:B9"/>
    <mergeCell ref="A28:B28"/>
    <mergeCell ref="A29:B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340A-8C0E-4603-BBC9-7147D2C15E81}">
  <dimension ref="A1:L116"/>
  <sheetViews>
    <sheetView workbookViewId="0">
      <selection activeCell="E81" sqref="E81"/>
    </sheetView>
  </sheetViews>
  <sheetFormatPr baseColWidth="10" defaultRowHeight="14.4" x14ac:dyDescent="0.3"/>
  <cols>
    <col min="2" max="2" width="28" customWidth="1"/>
    <col min="3" max="3" width="37.5546875" bestFit="1" customWidth="1"/>
    <col min="4" max="4" width="10.109375" bestFit="1" customWidth="1"/>
    <col min="5" max="7" width="12.109375" customWidth="1"/>
  </cols>
  <sheetData>
    <row r="1" spans="1:11" s="61" customFormat="1" ht="16.5" customHeight="1" thickBot="1" x14ac:dyDescent="0.35">
      <c r="A1" s="69" t="s">
        <v>18</v>
      </c>
      <c r="B1" s="70" t="s">
        <v>55</v>
      </c>
      <c r="C1" s="70" t="s">
        <v>411</v>
      </c>
      <c r="D1" s="71" t="s">
        <v>135</v>
      </c>
      <c r="E1" s="72"/>
      <c r="F1" s="72"/>
      <c r="G1" s="73"/>
      <c r="K1" s="314"/>
    </row>
    <row r="2" spans="1:11" s="56" customFormat="1" ht="12" customHeight="1" x14ac:dyDescent="0.3">
      <c r="A2" s="74"/>
      <c r="B2" s="128" t="s">
        <v>56</v>
      </c>
      <c r="C2" s="129" t="s">
        <v>101</v>
      </c>
      <c r="D2" s="130" t="s">
        <v>102</v>
      </c>
      <c r="E2" s="131">
        <v>0</v>
      </c>
      <c r="F2" s="132">
        <f>80000/8+5789</f>
        <v>15789</v>
      </c>
      <c r="G2" s="133">
        <f>E2*F2</f>
        <v>0</v>
      </c>
      <c r="K2" s="315"/>
    </row>
    <row r="3" spans="1:11" s="56" customFormat="1" ht="12" customHeight="1" x14ac:dyDescent="0.3">
      <c r="A3" s="74"/>
      <c r="B3" s="81" t="s">
        <v>56</v>
      </c>
      <c r="C3" s="82" t="s">
        <v>103</v>
      </c>
      <c r="D3" s="83" t="s">
        <v>102</v>
      </c>
      <c r="E3" s="84">
        <v>2</v>
      </c>
      <c r="F3" s="85">
        <f>50000/8+5789</f>
        <v>12039</v>
      </c>
      <c r="G3" s="86">
        <f>E3*F3</f>
        <v>24078</v>
      </c>
      <c r="K3" s="315"/>
    </row>
    <row r="4" spans="1:11" s="56" customFormat="1" ht="12" customHeight="1" x14ac:dyDescent="0.3">
      <c r="A4" s="74"/>
      <c r="B4" s="81" t="s">
        <v>56</v>
      </c>
      <c r="C4" s="82" t="s">
        <v>104</v>
      </c>
      <c r="D4" s="83" t="s">
        <v>102</v>
      </c>
      <c r="E4" s="84"/>
      <c r="F4" s="85">
        <f>45000/8+5789</f>
        <v>11414</v>
      </c>
      <c r="G4" s="86">
        <f>E4*F4</f>
        <v>0</v>
      </c>
      <c r="K4" s="315"/>
    </row>
    <row r="5" spans="1:11" s="56" customFormat="1" ht="12" customHeight="1" x14ac:dyDescent="0.3">
      <c r="A5" s="74"/>
      <c r="B5" s="81" t="s">
        <v>56</v>
      </c>
      <c r="C5" s="82" t="s">
        <v>57</v>
      </c>
      <c r="D5" s="83" t="s">
        <v>102</v>
      </c>
      <c r="E5" s="84">
        <v>1.2</v>
      </c>
      <c r="F5" s="85">
        <f>40000/8+5768</f>
        <v>10768</v>
      </c>
      <c r="G5" s="86">
        <f>E5*F5</f>
        <v>12921.6</v>
      </c>
      <c r="K5" s="315"/>
    </row>
    <row r="6" spans="1:11" s="56" customFormat="1" ht="12" customHeight="1" x14ac:dyDescent="0.3">
      <c r="A6" s="74"/>
      <c r="B6" s="81" t="s">
        <v>56</v>
      </c>
      <c r="C6" s="82" t="s">
        <v>105</v>
      </c>
      <c r="D6" s="83" t="s">
        <v>102</v>
      </c>
      <c r="E6" s="84"/>
      <c r="F6" s="85">
        <f>F5</f>
        <v>10768</v>
      </c>
      <c r="G6" s="86">
        <f>E6*F6</f>
        <v>0</v>
      </c>
      <c r="K6" s="315"/>
    </row>
    <row r="7" spans="1:11" s="56" customFormat="1" ht="12" customHeight="1" thickBot="1" x14ac:dyDescent="0.35">
      <c r="A7" s="74"/>
      <c r="B7" s="87" t="s">
        <v>106</v>
      </c>
      <c r="C7" s="88"/>
      <c r="D7" s="89"/>
      <c r="E7" s="90"/>
      <c r="F7" s="91"/>
      <c r="G7" s="92">
        <f>SUM(G2:G6)</f>
        <v>36999.599999999999</v>
      </c>
      <c r="K7" s="315"/>
    </row>
    <row r="8" spans="1:11" s="56" customFormat="1" ht="12" customHeight="1" x14ac:dyDescent="0.3">
      <c r="A8" s="74"/>
      <c r="B8" s="75" t="s">
        <v>58</v>
      </c>
      <c r="C8" s="52" t="s">
        <v>246</v>
      </c>
      <c r="D8" s="53" t="s">
        <v>247</v>
      </c>
      <c r="E8" s="54">
        <v>8.0000000000000002E-3</v>
      </c>
      <c r="F8" s="55">
        <v>1807030</v>
      </c>
      <c r="G8" s="80">
        <f t="shared" ref="G8:G18" si="0">E8*F8</f>
        <v>14456.24</v>
      </c>
      <c r="K8" s="315"/>
    </row>
    <row r="9" spans="1:11" s="56" customFormat="1" ht="12" customHeight="1" x14ac:dyDescent="0.3">
      <c r="A9" s="74"/>
      <c r="B9" s="81" t="s">
        <v>58</v>
      </c>
      <c r="C9" s="52" t="s">
        <v>248</v>
      </c>
      <c r="D9" s="53" t="s">
        <v>60</v>
      </c>
      <c r="E9" s="54">
        <v>0.01</v>
      </c>
      <c r="F9" s="55">
        <v>7500</v>
      </c>
      <c r="G9" s="86">
        <f t="shared" si="0"/>
        <v>75</v>
      </c>
      <c r="K9" s="315"/>
    </row>
    <row r="10" spans="1:11" s="56" customFormat="1" ht="12" customHeight="1" x14ac:dyDescent="0.3">
      <c r="A10" s="74"/>
      <c r="B10" s="81" t="s">
        <v>58</v>
      </c>
      <c r="C10" s="52" t="s">
        <v>249</v>
      </c>
      <c r="D10" s="53" t="s">
        <v>24</v>
      </c>
      <c r="E10" s="54"/>
      <c r="F10" s="55">
        <f>14500/2.88*3</f>
        <v>15104.166666666668</v>
      </c>
      <c r="G10" s="86">
        <f t="shared" si="0"/>
        <v>0</v>
      </c>
      <c r="K10" s="315"/>
    </row>
    <row r="11" spans="1:11" s="56" customFormat="1" ht="12" customHeight="1" x14ac:dyDescent="0.3">
      <c r="A11" s="74"/>
      <c r="B11" s="81" t="s">
        <v>58</v>
      </c>
      <c r="C11" s="52" t="s">
        <v>250</v>
      </c>
      <c r="D11" s="53" t="s">
        <v>24</v>
      </c>
      <c r="E11" s="54"/>
      <c r="F11" s="55">
        <f>12500*3</f>
        <v>37500</v>
      </c>
      <c r="G11" s="86">
        <f t="shared" si="0"/>
        <v>0</v>
      </c>
      <c r="K11" s="315"/>
    </row>
    <row r="12" spans="1:11" s="56" customFormat="1" ht="12" customHeight="1" x14ac:dyDescent="0.3">
      <c r="A12" s="74"/>
      <c r="B12" s="81" t="s">
        <v>58</v>
      </c>
      <c r="C12" s="52" t="s">
        <v>30</v>
      </c>
      <c r="D12" s="53" t="s">
        <v>60</v>
      </c>
      <c r="E12" s="54"/>
      <c r="F12" s="55">
        <v>7500</v>
      </c>
      <c r="G12" s="86">
        <f t="shared" si="0"/>
        <v>0</v>
      </c>
      <c r="K12" s="315"/>
    </row>
    <row r="13" spans="1:11" s="56" customFormat="1" ht="12" customHeight="1" x14ac:dyDescent="0.3">
      <c r="A13" s="74"/>
      <c r="B13" s="81" t="s">
        <v>58</v>
      </c>
      <c r="C13" s="52" t="s">
        <v>251</v>
      </c>
      <c r="D13" s="53" t="s">
        <v>60</v>
      </c>
      <c r="E13" s="54">
        <v>66</v>
      </c>
      <c r="F13" s="55">
        <f>13000/50</f>
        <v>260</v>
      </c>
      <c r="G13" s="86">
        <f t="shared" si="0"/>
        <v>17160</v>
      </c>
      <c r="K13" s="315"/>
    </row>
    <row r="14" spans="1:11" s="56" customFormat="1" ht="12" customHeight="1" x14ac:dyDescent="0.3">
      <c r="A14" s="74"/>
      <c r="B14" s="81" t="s">
        <v>58</v>
      </c>
      <c r="C14" s="52" t="s">
        <v>252</v>
      </c>
      <c r="D14" s="53" t="s">
        <v>36</v>
      </c>
      <c r="E14" s="54">
        <v>0.15</v>
      </c>
      <c r="F14" s="55">
        <v>50000</v>
      </c>
      <c r="G14" s="86">
        <f t="shared" si="0"/>
        <v>7500</v>
      </c>
      <c r="K14" s="315"/>
    </row>
    <row r="15" spans="1:11" s="56" customFormat="1" ht="12" customHeight="1" x14ac:dyDescent="0.3">
      <c r="A15" s="74"/>
      <c r="B15" s="81" t="s">
        <v>58</v>
      </c>
      <c r="C15" s="52" t="s">
        <v>61</v>
      </c>
      <c r="D15" s="53" t="s">
        <v>36</v>
      </c>
      <c r="E15" s="54">
        <v>0.18</v>
      </c>
      <c r="F15" s="55">
        <v>50000</v>
      </c>
      <c r="G15" s="86">
        <f t="shared" si="0"/>
        <v>9000</v>
      </c>
      <c r="K15" s="315"/>
    </row>
    <row r="16" spans="1:11" s="56" customFormat="1" ht="12" customHeight="1" x14ac:dyDescent="0.3">
      <c r="A16" s="74"/>
      <c r="B16" s="81" t="s">
        <v>58</v>
      </c>
      <c r="C16" s="82"/>
      <c r="D16" s="83"/>
      <c r="E16" s="84"/>
      <c r="F16" s="85"/>
      <c r="G16" s="86">
        <f t="shared" si="0"/>
        <v>0</v>
      </c>
      <c r="K16" s="315"/>
    </row>
    <row r="17" spans="1:11" s="56" customFormat="1" ht="12" customHeight="1" x14ac:dyDescent="0.3">
      <c r="A17" s="74"/>
      <c r="B17" s="81" t="s">
        <v>58</v>
      </c>
      <c r="C17" s="82"/>
      <c r="D17" s="83"/>
      <c r="E17" s="84"/>
      <c r="F17" s="85"/>
      <c r="G17" s="86">
        <f t="shared" si="0"/>
        <v>0</v>
      </c>
      <c r="K17" s="315"/>
    </row>
    <row r="18" spans="1:11" s="56" customFormat="1" ht="12" customHeight="1" x14ac:dyDescent="0.3">
      <c r="A18" s="74"/>
      <c r="B18" s="81" t="s">
        <v>58</v>
      </c>
      <c r="C18" s="82"/>
      <c r="D18" s="83"/>
      <c r="E18" s="84"/>
      <c r="F18" s="85"/>
      <c r="G18" s="86">
        <f t="shared" si="0"/>
        <v>0</v>
      </c>
      <c r="K18" s="315"/>
    </row>
    <row r="19" spans="1:11" s="56" customFormat="1" ht="12" customHeight="1" x14ac:dyDescent="0.3">
      <c r="A19" s="74"/>
      <c r="B19" s="81" t="s">
        <v>58</v>
      </c>
      <c r="C19" s="82"/>
      <c r="D19" s="83"/>
      <c r="E19" s="84"/>
      <c r="F19" s="85"/>
      <c r="G19" s="86"/>
      <c r="K19" s="315"/>
    </row>
    <row r="20" spans="1:11" s="56" customFormat="1" ht="12" customHeight="1" x14ac:dyDescent="0.3">
      <c r="A20" s="74"/>
      <c r="B20" s="81" t="s">
        <v>58</v>
      </c>
      <c r="C20" s="82"/>
      <c r="D20" s="83"/>
      <c r="E20" s="84"/>
      <c r="F20" s="85"/>
      <c r="G20" s="86"/>
      <c r="K20" s="315"/>
    </row>
    <row r="21" spans="1:11" s="56" customFormat="1" ht="12" customHeight="1" x14ac:dyDescent="0.3">
      <c r="A21" s="74"/>
      <c r="B21" s="81" t="s">
        <v>58</v>
      </c>
      <c r="C21" s="82"/>
      <c r="D21" s="83"/>
      <c r="E21" s="84"/>
      <c r="F21" s="85"/>
      <c r="G21" s="86"/>
      <c r="K21" s="315"/>
    </row>
    <row r="22" spans="1:11" s="56" customFormat="1" ht="12" customHeight="1" thickBot="1" x14ac:dyDescent="0.35">
      <c r="A22" s="95"/>
      <c r="B22" s="87" t="s">
        <v>107</v>
      </c>
      <c r="C22" s="96"/>
      <c r="D22" s="89"/>
      <c r="E22" s="90"/>
      <c r="F22" s="91"/>
      <c r="G22" s="92">
        <f>SUM(G8:G21)</f>
        <v>48191.24</v>
      </c>
      <c r="K22" s="315"/>
    </row>
    <row r="23" spans="1:11" s="56" customFormat="1" ht="9" customHeight="1" thickBot="1" x14ac:dyDescent="0.35">
      <c r="A23" s="95"/>
      <c r="B23" s="95"/>
      <c r="C23" s="97"/>
      <c r="D23" s="98"/>
      <c r="E23" s="99"/>
      <c r="F23" s="100"/>
      <c r="G23" s="100"/>
      <c r="K23" s="315"/>
    </row>
    <row r="24" spans="1:11" s="56" customFormat="1" ht="12" customHeight="1" x14ac:dyDescent="0.3">
      <c r="A24" s="95"/>
      <c r="B24" s="101">
        <v>1</v>
      </c>
      <c r="C24" s="102" t="s">
        <v>68</v>
      </c>
      <c r="D24" s="103" t="s">
        <v>67</v>
      </c>
      <c r="E24" s="104"/>
      <c r="F24" s="105"/>
      <c r="G24" s="106">
        <f>G7</f>
        <v>36999.599999999999</v>
      </c>
      <c r="K24" s="315"/>
    </row>
    <row r="25" spans="1:11" s="56" customFormat="1" ht="12" customHeight="1" x14ac:dyDescent="0.3">
      <c r="A25" s="95"/>
      <c r="B25" s="107">
        <v>2</v>
      </c>
      <c r="C25" s="108" t="s">
        <v>66</v>
      </c>
      <c r="D25" s="109" t="s">
        <v>69</v>
      </c>
      <c r="E25" s="110"/>
      <c r="F25" s="111"/>
      <c r="G25" s="112">
        <f>G22</f>
        <v>48191.24</v>
      </c>
      <c r="K25" s="315"/>
    </row>
    <row r="26" spans="1:11" s="56" customFormat="1" ht="12" customHeight="1" x14ac:dyDescent="0.3">
      <c r="A26" s="95"/>
      <c r="B26" s="107">
        <v>3</v>
      </c>
      <c r="C26" s="108" t="s">
        <v>70</v>
      </c>
      <c r="D26" s="109" t="s">
        <v>71</v>
      </c>
      <c r="E26" s="110"/>
      <c r="F26" s="111"/>
      <c r="G26" s="112"/>
      <c r="K26" s="315"/>
    </row>
    <row r="27" spans="1:11" s="56" customFormat="1" ht="12" customHeight="1" x14ac:dyDescent="0.3">
      <c r="A27" s="95"/>
      <c r="B27" s="107">
        <v>4</v>
      </c>
      <c r="C27" s="113" t="s">
        <v>72</v>
      </c>
      <c r="D27" s="109" t="s">
        <v>73</v>
      </c>
      <c r="E27" s="110"/>
      <c r="F27" s="111"/>
      <c r="G27" s="114">
        <f>SUM(G24:G26)</f>
        <v>85190.84</v>
      </c>
      <c r="H27" s="93"/>
      <c r="I27" s="93">
        <f>G27*1.95</f>
        <v>166122.13799999998</v>
      </c>
      <c r="K27" s="315"/>
    </row>
    <row r="28" spans="1:11" s="56" customFormat="1" ht="12" customHeight="1" x14ac:dyDescent="0.3">
      <c r="A28" s="95"/>
      <c r="B28" s="107">
        <v>5</v>
      </c>
      <c r="C28" s="108" t="s">
        <v>108</v>
      </c>
      <c r="D28" s="109" t="s">
        <v>109</v>
      </c>
      <c r="E28" s="116">
        <v>0.4</v>
      </c>
      <c r="F28" s="111"/>
      <c r="G28" s="112">
        <f>+G27*E28</f>
        <v>34076.336000000003</v>
      </c>
      <c r="K28" s="315"/>
    </row>
    <row r="29" spans="1:11" s="56" customFormat="1" ht="12" customHeight="1" x14ac:dyDescent="0.3">
      <c r="A29" s="95"/>
      <c r="B29" s="107">
        <v>6</v>
      </c>
      <c r="C29" s="113" t="s">
        <v>110</v>
      </c>
      <c r="D29" s="109" t="s">
        <v>74</v>
      </c>
      <c r="E29" s="116"/>
      <c r="F29" s="111"/>
      <c r="G29" s="114">
        <f>G28+G27</f>
        <v>119267.17600000001</v>
      </c>
      <c r="K29" s="315"/>
    </row>
    <row r="30" spans="1:11" s="56" customFormat="1" ht="12" customHeight="1" x14ac:dyDescent="0.3">
      <c r="A30" s="95"/>
      <c r="B30" s="107">
        <v>7</v>
      </c>
      <c r="C30" s="108" t="s">
        <v>111</v>
      </c>
      <c r="D30" s="109" t="s">
        <v>112</v>
      </c>
      <c r="E30" s="116">
        <v>0.1</v>
      </c>
      <c r="F30" s="111"/>
      <c r="G30" s="112">
        <f>+G29*E30</f>
        <v>11926.717600000002</v>
      </c>
      <c r="K30" s="315"/>
    </row>
    <row r="31" spans="1:11" s="56" customFormat="1" ht="12" customHeight="1" x14ac:dyDescent="0.3">
      <c r="A31" s="95"/>
      <c r="B31" s="107">
        <v>8</v>
      </c>
      <c r="C31" s="108" t="s">
        <v>113</v>
      </c>
      <c r="D31" s="109" t="s">
        <v>114</v>
      </c>
      <c r="E31" s="116">
        <v>0.1</v>
      </c>
      <c r="F31" s="111"/>
      <c r="G31" s="112">
        <f>G29*E31</f>
        <v>11926.717600000002</v>
      </c>
      <c r="K31" s="315"/>
    </row>
    <row r="32" spans="1:11" s="56" customFormat="1" ht="12" customHeight="1" x14ac:dyDescent="0.3">
      <c r="A32" s="95"/>
      <c r="B32" s="107">
        <v>9</v>
      </c>
      <c r="C32" s="108" t="s">
        <v>75</v>
      </c>
      <c r="D32" s="109" t="s">
        <v>115</v>
      </c>
      <c r="E32" s="116">
        <v>0.4</v>
      </c>
      <c r="F32" s="111"/>
      <c r="G32" s="112">
        <f>G29*E32</f>
        <v>47706.870400000007</v>
      </c>
      <c r="K32" s="315"/>
    </row>
    <row r="33" spans="1:12" s="56" customFormat="1" ht="12" customHeight="1" x14ac:dyDescent="0.3">
      <c r="A33" s="95"/>
      <c r="B33" s="107">
        <v>10</v>
      </c>
      <c r="C33" s="113" t="s">
        <v>76</v>
      </c>
      <c r="D33" s="109" t="s">
        <v>116</v>
      </c>
      <c r="E33" s="116"/>
      <c r="F33" s="111"/>
      <c r="G33" s="114">
        <f>G32+G31+G30+G29</f>
        <v>190827.4816</v>
      </c>
      <c r="H33" s="93"/>
      <c r="K33" s="315"/>
    </row>
    <row r="34" spans="1:12" s="56" customFormat="1" ht="12" customHeight="1" x14ac:dyDescent="0.3">
      <c r="A34" s="95"/>
      <c r="B34" s="107">
        <v>11</v>
      </c>
      <c r="C34" s="113" t="s">
        <v>117</v>
      </c>
      <c r="D34" s="109" t="s">
        <v>118</v>
      </c>
      <c r="E34" s="116"/>
      <c r="F34" s="111"/>
      <c r="G34" s="112">
        <f>G33-G25</f>
        <v>142636.24160000001</v>
      </c>
      <c r="K34" s="315"/>
    </row>
    <row r="35" spans="1:12" s="56" customFormat="1" ht="12" customHeight="1" x14ac:dyDescent="0.3">
      <c r="A35" s="95"/>
      <c r="B35" s="107">
        <v>12</v>
      </c>
      <c r="C35" s="108" t="s">
        <v>119</v>
      </c>
      <c r="D35" s="109" t="s">
        <v>77</v>
      </c>
      <c r="E35" s="116">
        <v>0</v>
      </c>
      <c r="F35" s="111"/>
      <c r="G35" s="112">
        <f>G33*E35</f>
        <v>0</v>
      </c>
      <c r="K35" s="315"/>
    </row>
    <row r="36" spans="1:12" s="56" customFormat="1" ht="12" customHeight="1" thickBot="1" x14ac:dyDescent="0.35">
      <c r="A36" s="95"/>
      <c r="B36" s="117">
        <v>13</v>
      </c>
      <c r="C36" s="88" t="s">
        <v>78</v>
      </c>
      <c r="D36" s="89"/>
      <c r="E36" s="118">
        <v>0</v>
      </c>
      <c r="F36" s="91"/>
      <c r="G36" s="119">
        <f>G32*E36</f>
        <v>0</v>
      </c>
      <c r="K36" s="315"/>
    </row>
    <row r="37" spans="1:12" s="56" customFormat="1" ht="8.25" customHeight="1" thickBot="1" x14ac:dyDescent="0.35">
      <c r="A37" s="95"/>
      <c r="B37" s="120"/>
      <c r="C37" s="121"/>
      <c r="D37" s="120"/>
      <c r="E37" s="122"/>
      <c r="F37" s="123"/>
      <c r="G37" s="123"/>
      <c r="K37" s="315"/>
    </row>
    <row r="38" spans="1:12" s="56" customFormat="1" ht="21" customHeight="1" thickBot="1" x14ac:dyDescent="0.35">
      <c r="A38" s="95"/>
      <c r="B38" s="228">
        <v>16</v>
      </c>
      <c r="C38" s="229" t="s">
        <v>124</v>
      </c>
      <c r="D38" s="230" t="s">
        <v>121</v>
      </c>
      <c r="E38" s="231"/>
      <c r="F38" s="232"/>
      <c r="G38" s="233">
        <f>G34+G35+G36</f>
        <v>142636.24160000001</v>
      </c>
      <c r="H38" s="93"/>
      <c r="I38" s="93">
        <v>1200</v>
      </c>
      <c r="J38" s="93">
        <f>G38/I38</f>
        <v>118.86353466666668</v>
      </c>
      <c r="K38" s="315"/>
      <c r="L38" s="93"/>
    </row>
    <row r="39" spans="1:12" ht="15" thickBot="1" x14ac:dyDescent="0.35"/>
    <row r="40" spans="1:12" s="61" customFormat="1" ht="16.5" customHeight="1" thickBot="1" x14ac:dyDescent="0.35">
      <c r="A40" s="69" t="s">
        <v>18</v>
      </c>
      <c r="B40" s="70" t="s">
        <v>55</v>
      </c>
      <c r="C40" s="70" t="s">
        <v>412</v>
      </c>
      <c r="D40" s="71" t="s">
        <v>36</v>
      </c>
      <c r="E40" s="72"/>
      <c r="F40" s="72"/>
      <c r="G40" s="73"/>
      <c r="K40" s="314"/>
    </row>
    <row r="41" spans="1:12" s="56" customFormat="1" ht="12" customHeight="1" x14ac:dyDescent="0.3">
      <c r="A41" s="74"/>
      <c r="B41" s="128" t="s">
        <v>56</v>
      </c>
      <c r="C41" s="129" t="s">
        <v>101</v>
      </c>
      <c r="D41" s="130" t="s">
        <v>102</v>
      </c>
      <c r="E41" s="131">
        <v>0</v>
      </c>
      <c r="F41" s="132">
        <f>F2</f>
        <v>15789</v>
      </c>
      <c r="G41" s="133">
        <f>E41*F41</f>
        <v>0</v>
      </c>
      <c r="K41" s="315"/>
    </row>
    <row r="42" spans="1:12" s="56" customFormat="1" ht="12" customHeight="1" x14ac:dyDescent="0.3">
      <c r="A42" s="74"/>
      <c r="B42" s="81" t="s">
        <v>56</v>
      </c>
      <c r="C42" s="82" t="s">
        <v>103</v>
      </c>
      <c r="D42" s="83" t="s">
        <v>102</v>
      </c>
      <c r="E42" s="84">
        <v>35</v>
      </c>
      <c r="F42" s="85">
        <f>F3</f>
        <v>12039</v>
      </c>
      <c r="G42" s="86">
        <f>E42*F42</f>
        <v>421365</v>
      </c>
      <c r="K42" s="315"/>
    </row>
    <row r="43" spans="1:12" s="56" customFormat="1" ht="12" customHeight="1" x14ac:dyDescent="0.3">
      <c r="A43" s="74"/>
      <c r="B43" s="81" t="s">
        <v>56</v>
      </c>
      <c r="C43" s="82" t="s">
        <v>104</v>
      </c>
      <c r="D43" s="83" t="s">
        <v>102</v>
      </c>
      <c r="E43" s="84"/>
      <c r="F43" s="85">
        <f t="shared" ref="F43:F45" si="1">F4</f>
        <v>11414</v>
      </c>
      <c r="G43" s="86">
        <f>E43*F43</f>
        <v>0</v>
      </c>
      <c r="K43" s="315"/>
    </row>
    <row r="44" spans="1:12" s="56" customFormat="1" ht="12" customHeight="1" x14ac:dyDescent="0.3">
      <c r="A44" s="74"/>
      <c r="B44" s="81" t="s">
        <v>56</v>
      </c>
      <c r="C44" s="82" t="s">
        <v>57</v>
      </c>
      <c r="D44" s="83" t="s">
        <v>102</v>
      </c>
      <c r="E44" s="84">
        <v>27.6</v>
      </c>
      <c r="F44" s="85">
        <f t="shared" si="1"/>
        <v>10768</v>
      </c>
      <c r="G44" s="86">
        <f>E44*F44</f>
        <v>297196.79999999999</v>
      </c>
      <c r="K44" s="315"/>
    </row>
    <row r="45" spans="1:12" s="56" customFormat="1" ht="12" customHeight="1" x14ac:dyDescent="0.3">
      <c r="A45" s="74"/>
      <c r="B45" s="81" t="s">
        <v>56</v>
      </c>
      <c r="C45" s="82" t="s">
        <v>105</v>
      </c>
      <c r="D45" s="83" t="s">
        <v>102</v>
      </c>
      <c r="E45" s="84"/>
      <c r="F45" s="85">
        <f t="shared" si="1"/>
        <v>10768</v>
      </c>
      <c r="G45" s="86">
        <f>E45*F45</f>
        <v>0</v>
      </c>
      <c r="K45" s="315"/>
    </row>
    <row r="46" spans="1:12" s="56" customFormat="1" ht="12" customHeight="1" thickBot="1" x14ac:dyDescent="0.35">
      <c r="A46" s="74"/>
      <c r="B46" s="87" t="s">
        <v>106</v>
      </c>
      <c r="C46" s="88"/>
      <c r="D46" s="89"/>
      <c r="E46" s="90"/>
      <c r="F46" s="91"/>
      <c r="G46" s="92">
        <f>SUM(G41:G45)</f>
        <v>718561.8</v>
      </c>
      <c r="K46" s="315"/>
    </row>
    <row r="47" spans="1:12" s="56" customFormat="1" ht="12" customHeight="1" x14ac:dyDescent="0.3">
      <c r="A47" s="74"/>
      <c r="B47" s="75" t="s">
        <v>58</v>
      </c>
      <c r="C47" s="52" t="s">
        <v>246</v>
      </c>
      <c r="D47" s="53" t="s">
        <v>247</v>
      </c>
      <c r="E47" s="54">
        <v>0.09</v>
      </c>
      <c r="F47" s="55">
        <v>1807030</v>
      </c>
      <c r="G47" s="80">
        <f t="shared" ref="G47:G57" si="2">E47*F47</f>
        <v>162632.69999999998</v>
      </c>
      <c r="K47" s="315"/>
    </row>
    <row r="48" spans="1:12" s="56" customFormat="1" ht="12" customHeight="1" x14ac:dyDescent="0.3">
      <c r="A48" s="74"/>
      <c r="B48" s="81" t="s">
        <v>58</v>
      </c>
      <c r="C48" s="52" t="s">
        <v>248</v>
      </c>
      <c r="D48" s="53" t="s">
        <v>60</v>
      </c>
      <c r="E48" s="54">
        <v>0.6</v>
      </c>
      <c r="F48" s="55">
        <v>7500</v>
      </c>
      <c r="G48" s="86">
        <f t="shared" si="2"/>
        <v>4500</v>
      </c>
      <c r="K48" s="315"/>
    </row>
    <row r="49" spans="1:11" s="56" customFormat="1" ht="12" customHeight="1" x14ac:dyDescent="0.3">
      <c r="A49" s="74"/>
      <c r="B49" s="81" t="s">
        <v>58</v>
      </c>
      <c r="C49" s="52" t="s">
        <v>249</v>
      </c>
      <c r="D49" s="53" t="s">
        <v>24</v>
      </c>
      <c r="E49" s="54">
        <v>3.3</v>
      </c>
      <c r="F49" s="55">
        <f>14500/2.88*3</f>
        <v>15104.166666666668</v>
      </c>
      <c r="G49" s="86">
        <f t="shared" si="2"/>
        <v>49843.75</v>
      </c>
      <c r="K49" s="315"/>
    </row>
    <row r="50" spans="1:11" s="56" customFormat="1" ht="12" customHeight="1" x14ac:dyDescent="0.3">
      <c r="A50" s="74"/>
      <c r="B50" s="81" t="s">
        <v>58</v>
      </c>
      <c r="C50" s="52" t="s">
        <v>250</v>
      </c>
      <c r="D50" s="53" t="s">
        <v>24</v>
      </c>
      <c r="E50" s="54">
        <v>0.26</v>
      </c>
      <c r="F50" s="55">
        <f>12500*3</f>
        <v>37500</v>
      </c>
      <c r="G50" s="86">
        <f t="shared" si="2"/>
        <v>9750</v>
      </c>
      <c r="K50" s="315"/>
    </row>
    <row r="51" spans="1:11" s="56" customFormat="1" ht="12" customHeight="1" x14ac:dyDescent="0.3">
      <c r="A51" s="74"/>
      <c r="B51" s="81" t="s">
        <v>58</v>
      </c>
      <c r="C51" s="52" t="s">
        <v>30</v>
      </c>
      <c r="D51" s="53" t="s">
        <v>60</v>
      </c>
      <c r="E51" s="54">
        <v>1.7</v>
      </c>
      <c r="F51" s="55">
        <v>7500</v>
      </c>
      <c r="G51" s="86">
        <f t="shared" si="2"/>
        <v>12750</v>
      </c>
      <c r="K51" s="315"/>
    </row>
    <row r="52" spans="1:11" s="56" customFormat="1" ht="12" customHeight="1" x14ac:dyDescent="0.3">
      <c r="A52" s="74"/>
      <c r="B52" s="81" t="s">
        <v>58</v>
      </c>
      <c r="C52" s="52" t="s">
        <v>251</v>
      </c>
      <c r="D52" s="53" t="s">
        <v>60</v>
      </c>
      <c r="E52" s="54">
        <v>330</v>
      </c>
      <c r="F52" s="55">
        <f>13000/50</f>
        <v>260</v>
      </c>
      <c r="G52" s="86">
        <f t="shared" si="2"/>
        <v>85800</v>
      </c>
      <c r="K52" s="315"/>
    </row>
    <row r="53" spans="1:11" s="56" customFormat="1" ht="12" customHeight="1" x14ac:dyDescent="0.3">
      <c r="A53" s="74"/>
      <c r="B53" s="81" t="s">
        <v>58</v>
      </c>
      <c r="C53" s="52" t="s">
        <v>252</v>
      </c>
      <c r="D53" s="53" t="s">
        <v>36</v>
      </c>
      <c r="E53" s="54">
        <v>0.55000000000000004</v>
      </c>
      <c r="F53" s="55">
        <v>50000</v>
      </c>
      <c r="G53" s="86">
        <f t="shared" si="2"/>
        <v>27500.000000000004</v>
      </c>
      <c r="K53" s="315"/>
    </row>
    <row r="54" spans="1:11" s="56" customFormat="1" ht="12" customHeight="1" x14ac:dyDescent="0.3">
      <c r="A54" s="74"/>
      <c r="B54" s="81" t="s">
        <v>58</v>
      </c>
      <c r="C54" s="52" t="s">
        <v>61</v>
      </c>
      <c r="D54" s="53" t="s">
        <v>36</v>
      </c>
      <c r="E54" s="54">
        <v>0.8</v>
      </c>
      <c r="F54" s="55">
        <v>50000</v>
      </c>
      <c r="G54" s="86">
        <f t="shared" si="2"/>
        <v>40000</v>
      </c>
      <c r="K54" s="315"/>
    </row>
    <row r="55" spans="1:11" s="56" customFormat="1" ht="12" customHeight="1" x14ac:dyDescent="0.3">
      <c r="A55" s="74"/>
      <c r="B55" s="81" t="s">
        <v>58</v>
      </c>
      <c r="C55" s="82"/>
      <c r="D55" s="83"/>
      <c r="E55" s="84"/>
      <c r="F55" s="85"/>
      <c r="G55" s="86">
        <f t="shared" si="2"/>
        <v>0</v>
      </c>
      <c r="K55" s="315"/>
    </row>
    <row r="56" spans="1:11" s="56" customFormat="1" ht="12" customHeight="1" x14ac:dyDescent="0.3">
      <c r="A56" s="74"/>
      <c r="B56" s="81" t="s">
        <v>58</v>
      </c>
      <c r="C56" s="82"/>
      <c r="D56" s="83"/>
      <c r="E56" s="84"/>
      <c r="F56" s="85"/>
      <c r="G56" s="86">
        <f t="shared" si="2"/>
        <v>0</v>
      </c>
      <c r="K56" s="315"/>
    </row>
    <row r="57" spans="1:11" s="56" customFormat="1" ht="12" customHeight="1" x14ac:dyDescent="0.3">
      <c r="A57" s="74"/>
      <c r="B57" s="81" t="s">
        <v>58</v>
      </c>
      <c r="C57" s="82"/>
      <c r="D57" s="83"/>
      <c r="E57" s="84"/>
      <c r="F57" s="85"/>
      <c r="G57" s="86">
        <f t="shared" si="2"/>
        <v>0</v>
      </c>
      <c r="K57" s="315"/>
    </row>
    <row r="58" spans="1:11" s="56" customFormat="1" ht="12" customHeight="1" x14ac:dyDescent="0.3">
      <c r="A58" s="74"/>
      <c r="B58" s="81" t="s">
        <v>58</v>
      </c>
      <c r="C58" s="82"/>
      <c r="D58" s="83"/>
      <c r="E58" s="84"/>
      <c r="F58" s="85"/>
      <c r="G58" s="86"/>
      <c r="K58" s="315"/>
    </row>
    <row r="59" spans="1:11" s="56" customFormat="1" ht="12" customHeight="1" x14ac:dyDescent="0.3">
      <c r="A59" s="74"/>
      <c r="B59" s="81" t="s">
        <v>58</v>
      </c>
      <c r="C59" s="82"/>
      <c r="D59" s="83"/>
      <c r="E59" s="84"/>
      <c r="F59" s="85"/>
      <c r="G59" s="86"/>
      <c r="K59" s="315"/>
    </row>
    <row r="60" spans="1:11" s="56" customFormat="1" ht="12" customHeight="1" x14ac:dyDescent="0.3">
      <c r="A60" s="74"/>
      <c r="B60" s="81" t="s">
        <v>58</v>
      </c>
      <c r="C60" s="82"/>
      <c r="D60" s="83"/>
      <c r="E60" s="84"/>
      <c r="F60" s="85"/>
      <c r="G60" s="86"/>
      <c r="K60" s="315"/>
    </row>
    <row r="61" spans="1:11" s="56" customFormat="1" ht="12" customHeight="1" thickBot="1" x14ac:dyDescent="0.35">
      <c r="A61" s="95"/>
      <c r="B61" s="87" t="s">
        <v>107</v>
      </c>
      <c r="C61" s="96"/>
      <c r="D61" s="89"/>
      <c r="E61" s="90"/>
      <c r="F61" s="91"/>
      <c r="G61" s="92">
        <f>SUM(G47:G60)</f>
        <v>392776.44999999995</v>
      </c>
      <c r="K61" s="315"/>
    </row>
    <row r="62" spans="1:11" s="56" customFormat="1" ht="9" customHeight="1" thickBot="1" x14ac:dyDescent="0.35">
      <c r="A62" s="95"/>
      <c r="B62" s="95"/>
      <c r="C62" s="97"/>
      <c r="D62" s="98"/>
      <c r="E62" s="99"/>
      <c r="F62" s="100"/>
      <c r="G62" s="100"/>
      <c r="K62" s="315"/>
    </row>
    <row r="63" spans="1:11" s="56" customFormat="1" ht="12" customHeight="1" x14ac:dyDescent="0.3">
      <c r="A63" s="95"/>
      <c r="B63" s="101">
        <v>1</v>
      </c>
      <c r="C63" s="102" t="s">
        <v>68</v>
      </c>
      <c r="D63" s="103" t="s">
        <v>67</v>
      </c>
      <c r="E63" s="104"/>
      <c r="F63" s="105"/>
      <c r="G63" s="106">
        <f>G46</f>
        <v>718561.8</v>
      </c>
      <c r="K63" s="315"/>
    </row>
    <row r="64" spans="1:11" s="56" customFormat="1" ht="12" customHeight="1" x14ac:dyDescent="0.3">
      <c r="A64" s="95"/>
      <c r="B64" s="107">
        <v>2</v>
      </c>
      <c r="C64" s="108" t="s">
        <v>66</v>
      </c>
      <c r="D64" s="109" t="s">
        <v>69</v>
      </c>
      <c r="E64" s="110"/>
      <c r="F64" s="111"/>
      <c r="G64" s="112">
        <f>G61</f>
        <v>392776.44999999995</v>
      </c>
      <c r="K64" s="315"/>
    </row>
    <row r="65" spans="1:12" s="56" customFormat="1" ht="12" customHeight="1" x14ac:dyDescent="0.3">
      <c r="A65" s="95"/>
      <c r="B65" s="107">
        <v>3</v>
      </c>
      <c r="C65" s="108" t="s">
        <v>70</v>
      </c>
      <c r="D65" s="109" t="s">
        <v>71</v>
      </c>
      <c r="E65" s="110"/>
      <c r="F65" s="111"/>
      <c r="G65" s="112"/>
      <c r="K65" s="315"/>
    </row>
    <row r="66" spans="1:12" s="56" customFormat="1" ht="12" customHeight="1" x14ac:dyDescent="0.3">
      <c r="A66" s="95"/>
      <c r="B66" s="107">
        <v>4</v>
      </c>
      <c r="C66" s="113" t="s">
        <v>72</v>
      </c>
      <c r="D66" s="109" t="s">
        <v>73</v>
      </c>
      <c r="E66" s="110"/>
      <c r="F66" s="111"/>
      <c r="G66" s="114">
        <f>SUM(G63:G65)</f>
        <v>1111338.25</v>
      </c>
      <c r="H66" s="93"/>
      <c r="I66" s="93">
        <f>G66*1.95</f>
        <v>2167109.5874999999</v>
      </c>
      <c r="K66" s="315"/>
    </row>
    <row r="67" spans="1:12" s="56" customFormat="1" ht="12" customHeight="1" x14ac:dyDescent="0.3">
      <c r="A67" s="95"/>
      <c r="B67" s="107">
        <v>5</v>
      </c>
      <c r="C67" s="108" t="s">
        <v>108</v>
      </c>
      <c r="D67" s="109" t="s">
        <v>109</v>
      </c>
      <c r="E67" s="116">
        <f>E28</f>
        <v>0.4</v>
      </c>
      <c r="F67" s="111"/>
      <c r="G67" s="112">
        <f>+G66*E67</f>
        <v>444535.30000000005</v>
      </c>
      <c r="K67" s="315"/>
    </row>
    <row r="68" spans="1:12" s="56" customFormat="1" ht="12" customHeight="1" x14ac:dyDescent="0.3">
      <c r="A68" s="95"/>
      <c r="B68" s="107">
        <v>6</v>
      </c>
      <c r="C68" s="113" t="s">
        <v>110</v>
      </c>
      <c r="D68" s="109" t="s">
        <v>74</v>
      </c>
      <c r="E68" s="116"/>
      <c r="F68" s="111"/>
      <c r="G68" s="114">
        <f>G67+G66</f>
        <v>1555873.55</v>
      </c>
      <c r="K68" s="315"/>
    </row>
    <row r="69" spans="1:12" s="56" customFormat="1" ht="12" customHeight="1" x14ac:dyDescent="0.3">
      <c r="A69" s="95"/>
      <c r="B69" s="107">
        <v>7</v>
      </c>
      <c r="C69" s="108" t="s">
        <v>111</v>
      </c>
      <c r="D69" s="109" t="s">
        <v>112</v>
      </c>
      <c r="E69" s="116">
        <f t="shared" ref="E69:E74" si="3">E30</f>
        <v>0.1</v>
      </c>
      <c r="F69" s="111"/>
      <c r="G69" s="112">
        <f>+G68*E69</f>
        <v>155587.35500000001</v>
      </c>
      <c r="K69" s="315"/>
    </row>
    <row r="70" spans="1:12" s="56" customFormat="1" ht="12" customHeight="1" x14ac:dyDescent="0.3">
      <c r="A70" s="95"/>
      <c r="B70" s="107">
        <v>8</v>
      </c>
      <c r="C70" s="108" t="s">
        <v>113</v>
      </c>
      <c r="D70" s="109" t="s">
        <v>114</v>
      </c>
      <c r="E70" s="116">
        <f t="shared" si="3"/>
        <v>0.1</v>
      </c>
      <c r="F70" s="111"/>
      <c r="G70" s="112">
        <f>G68*E70</f>
        <v>155587.35500000001</v>
      </c>
      <c r="K70" s="315"/>
    </row>
    <row r="71" spans="1:12" s="56" customFormat="1" ht="12" customHeight="1" x14ac:dyDescent="0.3">
      <c r="A71" s="95"/>
      <c r="B71" s="107">
        <v>9</v>
      </c>
      <c r="C71" s="108" t="s">
        <v>75</v>
      </c>
      <c r="D71" s="109" t="s">
        <v>115</v>
      </c>
      <c r="E71" s="116">
        <f t="shared" si="3"/>
        <v>0.4</v>
      </c>
      <c r="F71" s="111"/>
      <c r="G71" s="112">
        <f>G68*E71</f>
        <v>622349.42000000004</v>
      </c>
      <c r="K71" s="315"/>
    </row>
    <row r="72" spans="1:12" s="56" customFormat="1" ht="12" customHeight="1" x14ac:dyDescent="0.3">
      <c r="A72" s="95"/>
      <c r="B72" s="107">
        <v>10</v>
      </c>
      <c r="C72" s="113" t="s">
        <v>76</v>
      </c>
      <c r="D72" s="109" t="s">
        <v>116</v>
      </c>
      <c r="E72" s="116"/>
      <c r="F72" s="111"/>
      <c r="G72" s="114">
        <f>G71+G70+G69+G68</f>
        <v>2489397.6800000002</v>
      </c>
      <c r="H72" s="93"/>
      <c r="K72" s="315"/>
    </row>
    <row r="73" spans="1:12" s="56" customFormat="1" ht="12" customHeight="1" x14ac:dyDescent="0.3">
      <c r="A73" s="95"/>
      <c r="B73" s="107">
        <v>11</v>
      </c>
      <c r="C73" s="113" t="s">
        <v>117</v>
      </c>
      <c r="D73" s="109" t="s">
        <v>118</v>
      </c>
      <c r="E73" s="116"/>
      <c r="F73" s="111"/>
      <c r="G73" s="112">
        <f>G72-G64</f>
        <v>2096621.2300000002</v>
      </c>
      <c r="K73" s="315"/>
    </row>
    <row r="74" spans="1:12" s="56" customFormat="1" ht="12" customHeight="1" x14ac:dyDescent="0.3">
      <c r="A74" s="95"/>
      <c r="B74" s="107">
        <v>12</v>
      </c>
      <c r="C74" s="108" t="s">
        <v>119</v>
      </c>
      <c r="D74" s="109" t="s">
        <v>77</v>
      </c>
      <c r="E74" s="116">
        <f t="shared" si="3"/>
        <v>0</v>
      </c>
      <c r="F74" s="111"/>
      <c r="G74" s="112">
        <f>G72*E74</f>
        <v>0</v>
      </c>
      <c r="K74" s="315"/>
    </row>
    <row r="75" spans="1:12" s="56" customFormat="1" ht="12" customHeight="1" thickBot="1" x14ac:dyDescent="0.35">
      <c r="A75" s="95"/>
      <c r="B75" s="117">
        <v>13</v>
      </c>
      <c r="C75" s="88" t="s">
        <v>78</v>
      </c>
      <c r="D75" s="89"/>
      <c r="E75" s="118">
        <f>E36</f>
        <v>0</v>
      </c>
      <c r="F75" s="91"/>
      <c r="G75" s="119">
        <f>G71*E75</f>
        <v>0</v>
      </c>
      <c r="K75" s="315"/>
    </row>
    <row r="76" spans="1:12" s="56" customFormat="1" ht="8.25" customHeight="1" thickBot="1" x14ac:dyDescent="0.35">
      <c r="A76" s="95"/>
      <c r="B76" s="120"/>
      <c r="C76" s="121"/>
      <c r="D76" s="120"/>
      <c r="E76" s="122"/>
      <c r="F76" s="123"/>
      <c r="G76" s="123"/>
      <c r="K76" s="315"/>
    </row>
    <row r="77" spans="1:12" s="56" customFormat="1" ht="21" customHeight="1" thickBot="1" x14ac:dyDescent="0.35">
      <c r="A77" s="95"/>
      <c r="B77" s="228">
        <v>16</v>
      </c>
      <c r="C77" s="229" t="s">
        <v>124</v>
      </c>
      <c r="D77" s="230" t="s">
        <v>121</v>
      </c>
      <c r="E77" s="231"/>
      <c r="F77" s="232"/>
      <c r="G77" s="233">
        <f>G73+G74+G75</f>
        <v>2096621.2300000002</v>
      </c>
      <c r="H77" s="93"/>
      <c r="I77" s="93">
        <v>1200</v>
      </c>
      <c r="J77" s="93">
        <f>G77/I77</f>
        <v>1747.1843583333334</v>
      </c>
      <c r="K77" s="315"/>
      <c r="L77" s="93"/>
    </row>
    <row r="78" spans="1:12" ht="15" thickBot="1" x14ac:dyDescent="0.35"/>
    <row r="79" spans="1:12" s="61" customFormat="1" ht="16.5" customHeight="1" thickBot="1" x14ac:dyDescent="0.35">
      <c r="A79" s="69" t="s">
        <v>18</v>
      </c>
      <c r="B79" s="70" t="s">
        <v>55</v>
      </c>
      <c r="C79" s="70" t="s">
        <v>413</v>
      </c>
      <c r="D79" s="71" t="s">
        <v>36</v>
      </c>
      <c r="E79" s="72"/>
      <c r="F79" s="72"/>
      <c r="G79" s="73"/>
      <c r="K79" s="314"/>
    </row>
    <row r="80" spans="1:12" s="56" customFormat="1" ht="12" customHeight="1" x14ac:dyDescent="0.3">
      <c r="A80" s="74"/>
      <c r="B80" s="128" t="s">
        <v>56</v>
      </c>
      <c r="C80" s="129" t="s">
        <v>101</v>
      </c>
      <c r="D80" s="130" t="s">
        <v>102</v>
      </c>
      <c r="E80" s="131">
        <v>0</v>
      </c>
      <c r="F80" s="132">
        <f>F41</f>
        <v>15789</v>
      </c>
      <c r="G80" s="133">
        <f>E80*F80</f>
        <v>0</v>
      </c>
      <c r="K80" s="315"/>
    </row>
    <row r="81" spans="1:11" s="56" customFormat="1" ht="12" customHeight="1" x14ac:dyDescent="0.3">
      <c r="A81" s="74"/>
      <c r="B81" s="81" t="s">
        <v>56</v>
      </c>
      <c r="C81" s="82" t="s">
        <v>103</v>
      </c>
      <c r="D81" s="83" t="s">
        <v>102</v>
      </c>
      <c r="E81" s="84">
        <v>0.08</v>
      </c>
      <c r="F81" s="85">
        <f>F42</f>
        <v>12039</v>
      </c>
      <c r="G81" s="86">
        <f>E81*F81</f>
        <v>963.12</v>
      </c>
      <c r="K81" s="315"/>
    </row>
    <row r="82" spans="1:11" s="56" customFormat="1" ht="12" customHeight="1" x14ac:dyDescent="0.3">
      <c r="A82" s="74"/>
      <c r="B82" s="81" t="s">
        <v>56</v>
      </c>
      <c r="C82" s="82" t="s">
        <v>104</v>
      </c>
      <c r="D82" s="83" t="s">
        <v>102</v>
      </c>
      <c r="E82" s="84"/>
      <c r="F82" s="85">
        <f t="shared" ref="F82:F84" si="4">F43</f>
        <v>11414</v>
      </c>
      <c r="G82" s="86">
        <f>E82*F82</f>
        <v>0</v>
      </c>
      <c r="K82" s="315"/>
    </row>
    <row r="83" spans="1:11" s="56" customFormat="1" ht="12" customHeight="1" x14ac:dyDescent="0.3">
      <c r="A83" s="74"/>
      <c r="B83" s="81" t="s">
        <v>56</v>
      </c>
      <c r="C83" s="82" t="s">
        <v>57</v>
      </c>
      <c r="D83" s="83" t="s">
        <v>102</v>
      </c>
      <c r="E83" s="84">
        <v>0.18</v>
      </c>
      <c r="F83" s="85">
        <f t="shared" si="4"/>
        <v>10768</v>
      </c>
      <c r="G83" s="86">
        <f>E83*F83</f>
        <v>1938.24</v>
      </c>
      <c r="K83" s="315"/>
    </row>
    <row r="84" spans="1:11" s="56" customFormat="1" ht="12" customHeight="1" x14ac:dyDescent="0.3">
      <c r="A84" s="74"/>
      <c r="B84" s="81" t="s">
        <v>56</v>
      </c>
      <c r="C84" s="82" t="s">
        <v>105</v>
      </c>
      <c r="D84" s="83" t="s">
        <v>102</v>
      </c>
      <c r="E84" s="84"/>
      <c r="F84" s="85">
        <f t="shared" si="4"/>
        <v>10768</v>
      </c>
      <c r="G84" s="86">
        <f>E84*F84</f>
        <v>0</v>
      </c>
      <c r="K84" s="315"/>
    </row>
    <row r="85" spans="1:11" s="56" customFormat="1" ht="12" customHeight="1" thickBot="1" x14ac:dyDescent="0.35">
      <c r="A85" s="74"/>
      <c r="B85" s="87" t="s">
        <v>106</v>
      </c>
      <c r="C85" s="88"/>
      <c r="D85" s="89"/>
      <c r="E85" s="90"/>
      <c r="F85" s="91"/>
      <c r="G85" s="92">
        <f>SUM(G80:G84)</f>
        <v>2901.36</v>
      </c>
      <c r="K85" s="315"/>
    </row>
    <row r="86" spans="1:11" s="56" customFormat="1" ht="12" customHeight="1" x14ac:dyDescent="0.3">
      <c r="A86" s="74"/>
      <c r="B86" s="75" t="s">
        <v>58</v>
      </c>
      <c r="C86" s="52"/>
      <c r="D86" s="53"/>
      <c r="E86" s="54"/>
      <c r="F86" s="55"/>
      <c r="G86" s="80">
        <f t="shared" ref="G86:G96" si="5">E86*F86</f>
        <v>0</v>
      </c>
      <c r="K86" s="315"/>
    </row>
    <row r="87" spans="1:11" s="56" customFormat="1" ht="12" customHeight="1" x14ac:dyDescent="0.3">
      <c r="A87" s="74"/>
      <c r="B87" s="81" t="s">
        <v>58</v>
      </c>
      <c r="C87" s="52"/>
      <c r="D87" s="53"/>
      <c r="E87" s="54"/>
      <c r="F87" s="55"/>
      <c r="G87" s="86">
        <f t="shared" si="5"/>
        <v>0</v>
      </c>
      <c r="K87" s="315"/>
    </row>
    <row r="88" spans="1:11" s="56" customFormat="1" ht="12" customHeight="1" x14ac:dyDescent="0.3">
      <c r="A88" s="74"/>
      <c r="B88" s="81" t="s">
        <v>58</v>
      </c>
      <c r="C88" s="52"/>
      <c r="D88" s="53"/>
      <c r="E88" s="54"/>
      <c r="F88" s="55"/>
      <c r="G88" s="86">
        <f t="shared" si="5"/>
        <v>0</v>
      </c>
      <c r="K88" s="315"/>
    </row>
    <row r="89" spans="1:11" s="56" customFormat="1" ht="12" customHeight="1" x14ac:dyDescent="0.3">
      <c r="A89" s="74"/>
      <c r="B89" s="81" t="s">
        <v>58</v>
      </c>
      <c r="C89" s="52"/>
      <c r="D89" s="53"/>
      <c r="E89" s="54"/>
      <c r="F89" s="55"/>
      <c r="G89" s="86">
        <f t="shared" si="5"/>
        <v>0</v>
      </c>
      <c r="K89" s="315"/>
    </row>
    <row r="90" spans="1:11" s="56" customFormat="1" ht="12" customHeight="1" x14ac:dyDescent="0.3">
      <c r="A90" s="74"/>
      <c r="B90" s="81" t="s">
        <v>58</v>
      </c>
      <c r="C90" s="52"/>
      <c r="D90" s="53"/>
      <c r="E90" s="54"/>
      <c r="F90" s="55"/>
      <c r="G90" s="86">
        <f t="shared" si="5"/>
        <v>0</v>
      </c>
      <c r="K90" s="315"/>
    </row>
    <row r="91" spans="1:11" s="56" customFormat="1" ht="12" customHeight="1" x14ac:dyDescent="0.3">
      <c r="A91" s="74"/>
      <c r="B91" s="81" t="s">
        <v>58</v>
      </c>
      <c r="C91" s="52"/>
      <c r="D91" s="53"/>
      <c r="E91" s="54"/>
      <c r="F91" s="55"/>
      <c r="G91" s="86">
        <f t="shared" si="5"/>
        <v>0</v>
      </c>
      <c r="K91" s="315"/>
    </row>
    <row r="92" spans="1:11" s="56" customFormat="1" ht="12" customHeight="1" x14ac:dyDescent="0.3">
      <c r="A92" s="74"/>
      <c r="B92" s="81" t="s">
        <v>58</v>
      </c>
      <c r="C92" s="52"/>
      <c r="D92" s="53"/>
      <c r="E92" s="54"/>
      <c r="F92" s="55"/>
      <c r="G92" s="86">
        <f t="shared" si="5"/>
        <v>0</v>
      </c>
      <c r="K92" s="315"/>
    </row>
    <row r="93" spans="1:11" s="56" customFormat="1" ht="12" customHeight="1" x14ac:dyDescent="0.3">
      <c r="A93" s="74"/>
      <c r="B93" s="81" t="s">
        <v>58</v>
      </c>
      <c r="C93" s="52"/>
      <c r="D93" s="53"/>
      <c r="E93" s="54"/>
      <c r="F93" s="55"/>
      <c r="G93" s="86">
        <f t="shared" si="5"/>
        <v>0</v>
      </c>
      <c r="K93" s="315"/>
    </row>
    <row r="94" spans="1:11" s="56" customFormat="1" ht="12" customHeight="1" x14ac:dyDescent="0.3">
      <c r="A94" s="74"/>
      <c r="B94" s="81" t="s">
        <v>58</v>
      </c>
      <c r="C94" s="82"/>
      <c r="D94" s="83"/>
      <c r="E94" s="84"/>
      <c r="F94" s="85"/>
      <c r="G94" s="86">
        <f t="shared" si="5"/>
        <v>0</v>
      </c>
      <c r="K94" s="315"/>
    </row>
    <row r="95" spans="1:11" s="56" customFormat="1" ht="12" customHeight="1" x14ac:dyDescent="0.3">
      <c r="A95" s="74"/>
      <c r="B95" s="81" t="s">
        <v>58</v>
      </c>
      <c r="C95" s="82"/>
      <c r="D95" s="83"/>
      <c r="E95" s="84"/>
      <c r="F95" s="85"/>
      <c r="G95" s="86">
        <f t="shared" si="5"/>
        <v>0</v>
      </c>
      <c r="K95" s="315"/>
    </row>
    <row r="96" spans="1:11" s="56" customFormat="1" ht="12" customHeight="1" x14ac:dyDescent="0.3">
      <c r="A96" s="74"/>
      <c r="B96" s="81" t="s">
        <v>58</v>
      </c>
      <c r="C96" s="82"/>
      <c r="D96" s="83"/>
      <c r="E96" s="84"/>
      <c r="F96" s="85"/>
      <c r="G96" s="86">
        <f t="shared" si="5"/>
        <v>0</v>
      </c>
      <c r="K96" s="315"/>
    </row>
    <row r="97" spans="1:11" s="56" customFormat="1" ht="12" customHeight="1" x14ac:dyDescent="0.3">
      <c r="A97" s="74"/>
      <c r="B97" s="81" t="s">
        <v>58</v>
      </c>
      <c r="C97" s="82"/>
      <c r="D97" s="83"/>
      <c r="E97" s="84"/>
      <c r="F97" s="85"/>
      <c r="G97" s="86"/>
      <c r="K97" s="315"/>
    </row>
    <row r="98" spans="1:11" s="56" customFormat="1" ht="12" customHeight="1" x14ac:dyDescent="0.3">
      <c r="A98" s="74"/>
      <c r="B98" s="81" t="s">
        <v>58</v>
      </c>
      <c r="C98" s="82"/>
      <c r="D98" s="83"/>
      <c r="E98" s="84"/>
      <c r="F98" s="85"/>
      <c r="G98" s="86"/>
      <c r="K98" s="315"/>
    </row>
    <row r="99" spans="1:11" s="56" customFormat="1" ht="12" customHeight="1" x14ac:dyDescent="0.3">
      <c r="A99" s="74"/>
      <c r="B99" s="81" t="s">
        <v>58</v>
      </c>
      <c r="C99" s="82"/>
      <c r="D99" s="83"/>
      <c r="E99" s="84"/>
      <c r="F99" s="85"/>
      <c r="G99" s="86"/>
      <c r="K99" s="315"/>
    </row>
    <row r="100" spans="1:11" s="56" customFormat="1" ht="12" customHeight="1" thickBot="1" x14ac:dyDescent="0.35">
      <c r="A100" s="95"/>
      <c r="B100" s="87" t="s">
        <v>107</v>
      </c>
      <c r="C100" s="96"/>
      <c r="D100" s="89"/>
      <c r="E100" s="90"/>
      <c r="F100" s="91"/>
      <c r="G100" s="92">
        <f>SUM(G86:G99)</f>
        <v>0</v>
      </c>
      <c r="K100" s="315"/>
    </row>
    <row r="101" spans="1:11" s="56" customFormat="1" ht="9" customHeight="1" thickBot="1" x14ac:dyDescent="0.35">
      <c r="A101" s="95"/>
      <c r="B101" s="95"/>
      <c r="C101" s="97"/>
      <c r="D101" s="98"/>
      <c r="E101" s="99"/>
      <c r="F101" s="100"/>
      <c r="G101" s="100"/>
      <c r="K101" s="315"/>
    </row>
    <row r="102" spans="1:11" s="56" customFormat="1" ht="12" customHeight="1" x14ac:dyDescent="0.3">
      <c r="A102" s="95"/>
      <c r="B102" s="101">
        <v>1</v>
      </c>
      <c r="C102" s="102" t="s">
        <v>68</v>
      </c>
      <c r="D102" s="103" t="s">
        <v>67</v>
      </c>
      <c r="E102" s="104"/>
      <c r="F102" s="105"/>
      <c r="G102" s="106">
        <f>G85</f>
        <v>2901.36</v>
      </c>
      <c r="K102" s="315"/>
    </row>
    <row r="103" spans="1:11" s="56" customFormat="1" ht="12" customHeight="1" x14ac:dyDescent="0.3">
      <c r="A103" s="95"/>
      <c r="B103" s="107">
        <v>2</v>
      </c>
      <c r="C103" s="108" t="s">
        <v>66</v>
      </c>
      <c r="D103" s="109" t="s">
        <v>69</v>
      </c>
      <c r="E103" s="110"/>
      <c r="F103" s="111"/>
      <c r="G103" s="112">
        <f>G100</f>
        <v>0</v>
      </c>
      <c r="K103" s="315"/>
    </row>
    <row r="104" spans="1:11" s="56" customFormat="1" ht="12" customHeight="1" x14ac:dyDescent="0.3">
      <c r="A104" s="95"/>
      <c r="B104" s="107">
        <v>3</v>
      </c>
      <c r="C104" s="108" t="s">
        <v>70</v>
      </c>
      <c r="D104" s="109" t="s">
        <v>71</v>
      </c>
      <c r="E104" s="110"/>
      <c r="F104" s="111"/>
      <c r="G104" s="112">
        <v>7000</v>
      </c>
      <c r="K104" s="315"/>
    </row>
    <row r="105" spans="1:11" s="56" customFormat="1" ht="12" customHeight="1" x14ac:dyDescent="0.3">
      <c r="A105" s="95"/>
      <c r="B105" s="107">
        <v>4</v>
      </c>
      <c r="C105" s="113" t="s">
        <v>72</v>
      </c>
      <c r="D105" s="109" t="s">
        <v>73</v>
      </c>
      <c r="E105" s="110"/>
      <c r="F105" s="111"/>
      <c r="G105" s="114">
        <f>SUM(G102:G104)</f>
        <v>9901.36</v>
      </c>
      <c r="H105" s="93"/>
      <c r="I105" s="93">
        <f>G105*1.95</f>
        <v>19307.652000000002</v>
      </c>
      <c r="K105" s="315"/>
    </row>
    <row r="106" spans="1:11" s="56" customFormat="1" ht="12" customHeight="1" x14ac:dyDescent="0.3">
      <c r="A106" s="95"/>
      <c r="B106" s="107">
        <v>5</v>
      </c>
      <c r="C106" s="108" t="s">
        <v>108</v>
      </c>
      <c r="D106" s="109" t="s">
        <v>109</v>
      </c>
      <c r="E106" s="116">
        <f>E67</f>
        <v>0.4</v>
      </c>
      <c r="F106" s="111"/>
      <c r="G106" s="112">
        <f>+G105*E106</f>
        <v>3960.5440000000003</v>
      </c>
      <c r="K106" s="315"/>
    </row>
    <row r="107" spans="1:11" s="56" customFormat="1" ht="12" customHeight="1" x14ac:dyDescent="0.3">
      <c r="A107" s="95"/>
      <c r="B107" s="107">
        <v>6</v>
      </c>
      <c r="C107" s="113" t="s">
        <v>110</v>
      </c>
      <c r="D107" s="109" t="s">
        <v>74</v>
      </c>
      <c r="E107" s="116"/>
      <c r="F107" s="111"/>
      <c r="G107" s="114">
        <f>G106+G105</f>
        <v>13861.904</v>
      </c>
      <c r="K107" s="315"/>
    </row>
    <row r="108" spans="1:11" s="56" customFormat="1" ht="12" customHeight="1" x14ac:dyDescent="0.3">
      <c r="A108" s="95"/>
      <c r="B108" s="107">
        <v>7</v>
      </c>
      <c r="C108" s="108" t="s">
        <v>111</v>
      </c>
      <c r="D108" s="109" t="s">
        <v>112</v>
      </c>
      <c r="E108" s="116">
        <f t="shared" ref="E108:E113" si="6">E69</f>
        <v>0.1</v>
      </c>
      <c r="F108" s="111"/>
      <c r="G108" s="112">
        <f>+G107*E108</f>
        <v>1386.1904000000002</v>
      </c>
      <c r="K108" s="315"/>
    </row>
    <row r="109" spans="1:11" s="56" customFormat="1" ht="12" customHeight="1" x14ac:dyDescent="0.3">
      <c r="A109" s="95"/>
      <c r="B109" s="107">
        <v>8</v>
      </c>
      <c r="C109" s="108" t="s">
        <v>113</v>
      </c>
      <c r="D109" s="109" t="s">
        <v>114</v>
      </c>
      <c r="E109" s="116">
        <f t="shared" si="6"/>
        <v>0.1</v>
      </c>
      <c r="F109" s="111"/>
      <c r="G109" s="112">
        <f>G107*E109</f>
        <v>1386.1904000000002</v>
      </c>
      <c r="K109" s="315"/>
    </row>
    <row r="110" spans="1:11" s="56" customFormat="1" ht="12" customHeight="1" x14ac:dyDescent="0.3">
      <c r="A110" s="95"/>
      <c r="B110" s="107">
        <v>9</v>
      </c>
      <c r="C110" s="108" t="s">
        <v>75</v>
      </c>
      <c r="D110" s="109" t="s">
        <v>115</v>
      </c>
      <c r="E110" s="116">
        <f t="shared" si="6"/>
        <v>0.4</v>
      </c>
      <c r="F110" s="111"/>
      <c r="G110" s="112">
        <f>G107*E110</f>
        <v>5544.7616000000007</v>
      </c>
      <c r="K110" s="315"/>
    </row>
    <row r="111" spans="1:11" s="56" customFormat="1" ht="12" customHeight="1" x14ac:dyDescent="0.3">
      <c r="A111" s="95"/>
      <c r="B111" s="107">
        <v>10</v>
      </c>
      <c r="C111" s="113" t="s">
        <v>76</v>
      </c>
      <c r="D111" s="109" t="s">
        <v>116</v>
      </c>
      <c r="E111" s="116"/>
      <c r="F111" s="111"/>
      <c r="G111" s="114">
        <f>G110+G109+G108+G107</f>
        <v>22179.046399999999</v>
      </c>
      <c r="H111" s="93"/>
      <c r="K111" s="315"/>
    </row>
    <row r="112" spans="1:11" s="56" customFormat="1" ht="12" customHeight="1" x14ac:dyDescent="0.3">
      <c r="A112" s="95"/>
      <c r="B112" s="107">
        <v>11</v>
      </c>
      <c r="C112" s="113" t="s">
        <v>117</v>
      </c>
      <c r="D112" s="109" t="s">
        <v>118</v>
      </c>
      <c r="E112" s="116"/>
      <c r="F112" s="111"/>
      <c r="G112" s="112">
        <f>G111-G103</f>
        <v>22179.046399999999</v>
      </c>
      <c r="K112" s="315"/>
    </row>
    <row r="113" spans="1:12" s="56" customFormat="1" ht="12" customHeight="1" x14ac:dyDescent="0.3">
      <c r="A113" s="95"/>
      <c r="B113" s="107">
        <v>12</v>
      </c>
      <c r="C113" s="108" t="s">
        <v>119</v>
      </c>
      <c r="D113" s="109" t="s">
        <v>77</v>
      </c>
      <c r="E113" s="116">
        <f t="shared" si="6"/>
        <v>0</v>
      </c>
      <c r="F113" s="111"/>
      <c r="G113" s="112">
        <f>G111*E113</f>
        <v>0</v>
      </c>
      <c r="K113" s="315"/>
    </row>
    <row r="114" spans="1:12" s="56" customFormat="1" ht="12" customHeight="1" thickBot="1" x14ac:dyDescent="0.35">
      <c r="A114" s="95"/>
      <c r="B114" s="117">
        <v>13</v>
      </c>
      <c r="C114" s="88" t="s">
        <v>78</v>
      </c>
      <c r="D114" s="89"/>
      <c r="E114" s="118">
        <f>E75</f>
        <v>0</v>
      </c>
      <c r="F114" s="91"/>
      <c r="G114" s="119">
        <f>G110*E114</f>
        <v>0</v>
      </c>
      <c r="K114" s="315"/>
    </row>
    <row r="115" spans="1:12" s="56" customFormat="1" ht="8.25" customHeight="1" thickBot="1" x14ac:dyDescent="0.35">
      <c r="A115" s="95"/>
      <c r="B115" s="120"/>
      <c r="C115" s="121"/>
      <c r="D115" s="120"/>
      <c r="E115" s="122"/>
      <c r="F115" s="123"/>
      <c r="G115" s="123"/>
      <c r="K115" s="315"/>
    </row>
    <row r="116" spans="1:12" s="56" customFormat="1" ht="21" customHeight="1" thickBot="1" x14ac:dyDescent="0.35">
      <c r="A116" s="95"/>
      <c r="B116" s="228">
        <v>16</v>
      </c>
      <c r="C116" s="229" t="s">
        <v>124</v>
      </c>
      <c r="D116" s="230" t="s">
        <v>121</v>
      </c>
      <c r="E116" s="231"/>
      <c r="F116" s="232"/>
      <c r="G116" s="233">
        <f>G112+G113+G114</f>
        <v>22179.046399999999</v>
      </c>
      <c r="H116" s="93"/>
      <c r="I116" s="93">
        <v>1200</v>
      </c>
      <c r="J116" s="93">
        <f>G116/I116</f>
        <v>18.482538666666667</v>
      </c>
      <c r="K116" s="315"/>
      <c r="L116" s="93"/>
    </row>
  </sheetData>
  <dataValidations disablePrompts="1" count="1">
    <dataValidation type="list" allowBlank="1" showInputMessage="1" showErrorMessage="1" sqref="B23 B1:B6 B8:B21 B62 B40:B45 B47:B60 B101 B79:B84 B86:B99" xr:uid="{60C6E691-D3FE-402A-9C99-FE635FA34DE5}">
      <formula1>"Capítulo,Partida,Mano de obra,Maquinaria,Material,Otros,"</formula1>
    </dataValidation>
  </dataValidations>
  <pageMargins left="0.7" right="0.7" top="0.75" bottom="0.75" header="0.3" footer="0.3"/>
  <ignoredErrors>
    <ignoredError sqref="G6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Hoja2</vt:lpstr>
      <vt:lpstr>Hoja6</vt:lpstr>
      <vt:lpstr>Hoja8</vt:lpstr>
      <vt:lpstr>COMP Y PRES 2</vt:lpstr>
      <vt:lpstr>Hoja4</vt:lpstr>
      <vt:lpstr>Hoja5</vt:lpstr>
      <vt:lpstr>Hoja1</vt:lpstr>
      <vt:lpstr>COMPUTO</vt:lpstr>
      <vt:lpstr>gastos</vt:lpstr>
      <vt:lpstr>Hoja3</vt:lpstr>
      <vt:lpstr>Hoja7</vt:lpstr>
      <vt:lpstr>'COMP Y PRES 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losa</dc:creator>
  <cp:lastModifiedBy>seba2135 seba2135</cp:lastModifiedBy>
  <cp:lastPrinted>2025-03-23T14:25:45Z</cp:lastPrinted>
  <dcterms:created xsi:type="dcterms:W3CDTF">2021-04-16T15:21:41Z</dcterms:created>
  <dcterms:modified xsi:type="dcterms:W3CDTF">2025-04-04T12:24:06Z</dcterms:modified>
</cp:coreProperties>
</file>