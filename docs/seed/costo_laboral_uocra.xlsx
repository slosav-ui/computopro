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Escala UOCRA" sheetId="2" state="visible" r:id="rId4"/>
    <sheet name="Calculo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<sst xmlns="http://schemas.openxmlformats.org/spreadsheetml/2006/main" count="236" uniqueCount="195">
  <si>
    <t xml:space="preserve">PARÁMETROS  —  editar sólo las celdas en azul sobre fondo crema</t>
  </si>
  <si>
    <t xml:space="preserve">Alícuotas y bases de cálculo. Todo lo demás en el libro se calcula desde acá.</t>
  </si>
  <si>
    <t xml:space="preserve">1. CONTRIBUCIONES PATRONALES  (SÍ son costo de la empresa)</t>
  </si>
  <si>
    <t xml:space="preserve">Concepto</t>
  </si>
  <si>
    <t xml:space="preserve">Alícuota</t>
  </si>
  <si>
    <t xml:space="preserve">Base</t>
  </si>
  <si>
    <t xml:space="preserve">Referencia legal / nota</t>
  </si>
  <si>
    <t xml:space="preserve">SUSS (SIPA + INSSJP + FNE + Asig. Familiares)</t>
  </si>
  <si>
    <t xml:space="preserve">Remunerativo</t>
  </si>
  <si>
    <t xml:space="preserve">Ley 27.541 art. 19 inc. b): 18% PyME/industria/construcción. 20,40% si es empresa grande de servicios o comercio.</t>
  </si>
  <si>
    <t xml:space="preserve">Obra social patronal</t>
  </si>
  <si>
    <t xml:space="preserve">Ley 23.660. Se calcula aparte del SUSS, sobre el bruto.</t>
  </si>
  <si>
    <t xml:space="preserve">ART — alícuota variable</t>
  </si>
  <si>
    <t xml:space="preserve">SUPUESTO A REEMPLAZAR: 10,23% viene de la planilla de la liquidadora, no de una póliza verificada. Poner el valor real.</t>
  </si>
  <si>
    <t xml:space="preserve">Fondo de Cese Laboral</t>
  </si>
  <si>
    <t xml:space="preserve">Ley 22.250: 12% el 1er año, 8% desde el año de antigüedad. Se deja 12%: con la rotación de obra pocos operarios llegan al año.</t>
  </si>
  <si>
    <t xml:space="preserve">UOCRA empleador</t>
  </si>
  <si>
    <t xml:space="preserve">Contribución patronal al sindicato.</t>
  </si>
  <si>
    <t xml:space="preserve">FICS  (2% s/ Fondo de Cese)</t>
  </si>
  <si>
    <t xml:space="preserve">Fondo de Cese</t>
  </si>
  <si>
    <t xml:space="preserve">Se calcula sobre el FCL, no sobre el sueldo. Equivale a 0,24% del remunerativo si el FCL es 12%.</t>
  </si>
  <si>
    <t xml:space="preserve">IERIC  (1% s/ Fondo de Cese)</t>
  </si>
  <si>
    <t xml:space="preserve">Idem: base = FCL, no sueldo.</t>
  </si>
  <si>
    <t xml:space="preserve">FODECO  (1% s/ Fondo de Cese)</t>
  </si>
  <si>
    <t xml:space="preserve">Total % sobre remunerativo</t>
  </si>
  <si>
    <t xml:space="preserve">Suma efectiva aplicada al remunerativo (los tres últimos ya convertidos desde su base FCL).</t>
  </si>
  <si>
    <t xml:space="preserve">2. COSTOS FIJOS DEL EMPLEADOR  ($ por operario por mes)</t>
  </si>
  <si>
    <t xml:space="preserve">Importe</t>
  </si>
  <si>
    <t xml:space="preserve">Nota</t>
  </si>
  <si>
    <t xml:space="preserve">ART — suma fija por trabajador</t>
  </si>
  <si>
    <t xml:space="preserve">Fijo por operario, además de la alícuota.</t>
  </si>
  <si>
    <t xml:space="preserve">Seguro de Vida Obligatorio (empleador)</t>
  </si>
  <si>
    <t xml:space="preserve">Decreto 1567/74.</t>
  </si>
  <si>
    <t xml:space="preserve">Preocupacional</t>
  </si>
  <si>
    <t xml:space="preserve">Promedio mensual anual (costo del estudio prorrateado).</t>
  </si>
  <si>
    <t xml:space="preserve">Indumentaria y EPP</t>
  </si>
  <si>
    <t xml:space="preserve">Promedio mensual semestral (2 entregas por año).</t>
  </si>
  <si>
    <t xml:space="preserve">Telegramas / gestión</t>
  </si>
  <si>
    <t xml:space="preserve">Promedio anual.</t>
  </si>
  <si>
    <t xml:space="preserve">Total fijos empleador</t>
  </si>
  <si>
    <t xml:space="preserve">3. APORTES DEL TRABAJADOR  —  NO son costo de la empresa</t>
  </si>
  <si>
    <t xml:space="preserve">Se retienen del sueldo bruto y se depositan; no se suman al costo empresa. Van acá sólo para calcular el neto de bolsillo.</t>
  </si>
  <si>
    <t xml:space="preserve">Referencia</t>
  </si>
  <si>
    <t xml:space="preserve">Jubilación (SIPA)</t>
  </si>
  <si>
    <t xml:space="preserve">Ley 24.241.</t>
  </si>
  <si>
    <t xml:space="preserve">INSSJP / PAMI</t>
  </si>
  <si>
    <t xml:space="preserve">Ley 19.032.</t>
  </si>
  <si>
    <t xml:space="preserve">Obra social</t>
  </si>
  <si>
    <t xml:space="preserve">Ley 23.660.</t>
  </si>
  <si>
    <t xml:space="preserve">Cuota sindical UOCRA (afiliado)</t>
  </si>
  <si>
    <t xml:space="preserve">Acuerdos 2026. No afiliado: aporte solidario 2%.</t>
  </si>
  <si>
    <t xml:space="preserve">Seguro de Vida UOCRA (empleado, $ fijo)</t>
  </si>
  <si>
    <t xml:space="preserve">Descontado al trabajador. NO es costo empresa.</t>
  </si>
  <si>
    <t xml:space="preserve">Total aportes trabajador</t>
  </si>
  <si>
    <t xml:space="preserve">4. BASE REMUNERATIVA</t>
  </si>
  <si>
    <t xml:space="preserve">Horas mes según convenio</t>
  </si>
  <si>
    <t xml:space="preserve">CCT 76/75 art. 11: 44 hs semanales. 176 = 4 semanas (criterio de la liquidadora). El promedio real del mes es 190,67 hs.</t>
  </si>
  <si>
    <t xml:space="preserve">SAC (aguinaldo) — proporción mensual</t>
  </si>
  <si>
    <t xml:space="preserve">Un doceavo. Se prorratea para que cada mes absorba su parte y junio no distorsione.</t>
  </si>
  <si>
    <t xml:space="preserve">Vacaciones — jornales por mes</t>
  </si>
  <si>
    <t xml:space="preserve">1 jornal/mes = 12 jornales/año. Se pagan como no gozadas por la alta rotación del sector.</t>
  </si>
  <si>
    <t xml:space="preserve">Asistencia perfecta — % de referencia</t>
  </si>
  <si>
    <t xml:space="preserve">Informativo. El % efectivo se carga por categoría en la hoja Escala UOCRA (Sereno liquida 22%).</t>
  </si>
  <si>
    <t xml:space="preserve">¿Aplica adicional hormigón en el valor hora base?</t>
  </si>
  <si>
    <t xml:space="preserve">0 = No · 1 = Sí</t>
  </si>
  <si>
    <t xml:space="preserve">DECIDIDO: 0. El adicional NO va en el valor hora base — corresponde sólo a tareas de hormigón. Se aplica dentro de las APU de estructura, donde sí corresponde.</t>
  </si>
  <si>
    <t xml:space="preserve">5. HORAS PRODUCTIVAS  (horas pagadas que NO se trabajan)</t>
  </si>
  <si>
    <t xml:space="preserve">Este bloque es el que faltaba en la planilla original. Se paga el mes completo pero no todas las horas producen.</t>
  </si>
  <si>
    <t xml:space="preserve">Valor</t>
  </si>
  <si>
    <t xml:space="preserve">Unidad</t>
  </si>
  <si>
    <t xml:space="preserve">Feriados</t>
  </si>
  <si>
    <t xml:space="preserve">hs/mes</t>
  </si>
  <si>
    <t xml:space="preserve">≈12 feriados en día hábil por año × 8 hs ÷ 12 meses. Ajustar según calendario.</t>
  </si>
  <si>
    <t xml:space="preserve">Enfermedades inculpables</t>
  </si>
  <si>
    <t xml:space="preserve">2,61% de las horas mes. Valor de referencia del sector.</t>
  </si>
  <si>
    <t xml:space="preserve">Licencias especiales</t>
  </si>
  <si>
    <t xml:space="preserve">1,03% de las horas mes (matrimonio, nacimiento, fallecimiento, examen).</t>
  </si>
  <si>
    <t xml:space="preserve">Paradas por clima / lluvia</t>
  </si>
  <si>
    <t xml:space="preserve">PONER TU VALOR. En Patagonia Norte es significativo. 0 = no contemplado.</t>
  </si>
  <si>
    <t xml:space="preserve">Total horas improductivas</t>
  </si>
  <si>
    <t xml:space="preserve">HORAS PRODUCTIVAS POR MES</t>
  </si>
  <si>
    <t xml:space="preserve">Es el divisor correcto para el valor hora que va a la APU.</t>
  </si>
  <si>
    <t xml:space="preserve">LEYENDA</t>
  </si>
  <si>
    <t xml:space="preserve">Azul sobre crema = celda editable.   Negro = fórmula, no tocar.   Verde = viene de otra hoja.</t>
  </si>
  <si>
    <t xml:space="preserve">Fuente escalas: UOCRA-CAMARCO CCT 76/75, Zona B, septiembre 2026 (PDF VALOR_OBRERO-092026 provisto por el usuario).</t>
  </si>
  <si>
    <t xml:space="preserve">Alícuotas verificadas contra normativa vigente a septiembre 2026. Confirmar con contador antes de usar en presupuesto real.</t>
  </si>
  <si>
    <t xml:space="preserve">ESCALA SALARIAL  —  UOCRA CCT 76/75  ·  Zona B  ·  septiembre 2026</t>
  </si>
  <si>
    <t xml:space="preserve">Actualizar estos valores en cada paritaria. Es lo único que cambia mes a mes.</t>
  </si>
  <si>
    <t xml:space="preserve">Ayudante</t>
  </si>
  <si>
    <t xml:space="preserve">Medio Oficial</t>
  </si>
  <si>
    <t xml:space="preserve">Oficial</t>
  </si>
  <si>
    <t xml:space="preserve">Oficial Especializado</t>
  </si>
  <si>
    <t xml:space="preserve">Sereno</t>
  </si>
  <si>
    <t xml:space="preserve">Jornal básico de convenio</t>
  </si>
  <si>
    <t xml:space="preserve">Ayudante a Of. Especializado: por hora. Sereno: mensual.</t>
  </si>
  <si>
    <t xml:space="preserve">Zona B (desfavorable)</t>
  </si>
  <si>
    <t xml:space="preserve">Adicional por zona desfavorable del convenio.</t>
  </si>
  <si>
    <t xml:space="preserve">Adicional hormigón</t>
  </si>
  <si>
    <t xml:space="preserve">Cargado pero NO aplicado al valor hora base (interruptor en 0). Se suma dentro de las APU de estructura.</t>
  </si>
  <si>
    <t xml:space="preserve">Subtotal base</t>
  </si>
  <si>
    <t xml:space="preserve">Básico + zona + (hormigón × interruptor de Parámetros). Con el interruptor en 0 el adicional queda afuera.</t>
  </si>
  <si>
    <t xml:space="preserve">% asistencia perfecta</t>
  </si>
  <si>
    <t xml:space="preserve">El Sereno liquida 22%, las demás categorías 20%. Verificar en cada escala.</t>
  </si>
  <si>
    <t xml:space="preserve">Asistencia perfecta ($)</t>
  </si>
  <si>
    <t xml:space="preserve">Subtotal base × % de la fila anterior.</t>
  </si>
  <si>
    <t xml:space="preserve">TOTAL JORNAL / MES</t>
  </si>
  <si>
    <t xml:space="preserve">Valor hora para las 4 primeras categorías; valor mensual para Sereno.</t>
  </si>
  <si>
    <t xml:space="preserve">Tipo de liquidación</t>
  </si>
  <si>
    <t xml:space="preserve">Por hora</t>
  </si>
  <si>
    <t xml:space="preserve">Mensual</t>
  </si>
  <si>
    <t xml:space="preserve">El Sereno se liquida por mes, no por hora: su costo/hora sale del mensual dividido las horas productivas.</t>
  </si>
  <si>
    <t xml:space="preserve">CÁLCULO DEL COSTO EMPRESA POR CATEGORÍA</t>
  </si>
  <si>
    <t xml:space="preserve">Todo se calcula desde 'Parametros' y 'Escala UOCRA'. No editar nada de esta hoja.</t>
  </si>
  <si>
    <t xml:space="preserve">N°</t>
  </si>
  <si>
    <t xml:space="preserve">A.  BASE REMUNERATIVA MENSUAL</t>
  </si>
  <si>
    <t xml:space="preserve">1</t>
  </si>
  <si>
    <t xml:space="preserve">Remuneración mensual</t>
  </si>
  <si>
    <t xml:space="preserve">2</t>
  </si>
  <si>
    <t xml:space="preserve">SAC (aguinaldo) prorrateado</t>
  </si>
  <si>
    <t xml:space="preserve">3</t>
  </si>
  <si>
    <t xml:space="preserve">Vacaciones</t>
  </si>
  <si>
    <t xml:space="preserve">4</t>
  </si>
  <si>
    <t xml:space="preserve">TOTAL REMUNERATIVO</t>
  </si>
  <si>
    <t xml:space="preserve">B.  CONTRIBUCIONES PATRONALES  (costo de la empresa)</t>
  </si>
  <si>
    <t xml:space="preserve">5</t>
  </si>
  <si>
    <t xml:space="preserve">SUSS (SIPA + PAMI + FNE + Asig. Fam.)</t>
  </si>
  <si>
    <t xml:space="preserve">6</t>
  </si>
  <si>
    <t xml:space="preserve">7</t>
  </si>
  <si>
    <t xml:space="preserve">ART (alícuota)</t>
  </si>
  <si>
    <t xml:space="preserve">8</t>
  </si>
  <si>
    <t xml:space="preserve">9</t>
  </si>
  <si>
    <t xml:space="preserve">10</t>
  </si>
  <si>
    <t xml:space="preserve">FICS  (s/ Fondo de Cese)</t>
  </si>
  <si>
    <t xml:space="preserve">11</t>
  </si>
  <si>
    <t xml:space="preserve">IERIC  (s/ Fondo de Cese)</t>
  </si>
  <si>
    <t xml:space="preserve">12</t>
  </si>
  <si>
    <t xml:space="preserve">FODECO  (s/ Fondo de Cese)</t>
  </si>
  <si>
    <t xml:space="preserve">13</t>
  </si>
  <si>
    <t xml:space="preserve">Subtotal contribuciones</t>
  </si>
  <si>
    <t xml:space="preserve">C.  COSTOS FIJOS DEL EMPLEADOR</t>
  </si>
  <si>
    <t xml:space="preserve">14</t>
  </si>
  <si>
    <t xml:space="preserve">Fijos por operario / mes</t>
  </si>
  <si>
    <t xml:space="preserve">D.  COSTO EMPRESA</t>
  </si>
  <si>
    <t xml:space="preserve">15</t>
  </si>
  <si>
    <t xml:space="preserve">COSTO TOTAL MENSUAL</t>
  </si>
  <si>
    <t xml:space="preserve">16</t>
  </si>
  <si>
    <t xml:space="preserve">Costo por hora NOMINAL (÷ horas convenio)</t>
  </si>
  <si>
    <t xml:space="preserve">17</t>
  </si>
  <si>
    <t xml:space="preserve">COSTO POR HORA PRODUCTIVA</t>
  </si>
  <si>
    <t xml:space="preserve">E.  VERIFICACIÓN Y MULTIPLICADORES</t>
  </si>
  <si>
    <t xml:space="preserve">18</t>
  </si>
  <si>
    <t xml:space="preserve">Multiplicador s/ jornal de convenio</t>
  </si>
  <si>
    <t xml:space="preserve">19</t>
  </si>
  <si>
    <t xml:space="preserve">% de cargas s/ remunerativo</t>
  </si>
  <si>
    <t xml:space="preserve">F.  APORTES DEL TRABAJADOR  —  NO integran el costo empresa</t>
  </si>
  <si>
    <t xml:space="preserve">20</t>
  </si>
  <si>
    <t xml:space="preserve">Aportes de ley + sindical</t>
  </si>
  <si>
    <t xml:space="preserve">21</t>
  </si>
  <si>
    <t xml:space="preserve">Seguro de vida UOCRA (empleado)</t>
  </si>
  <si>
    <t xml:space="preserve">22</t>
  </si>
  <si>
    <t xml:space="preserve">Sueldo NETO de bolsillo</t>
  </si>
  <si>
    <t xml:space="preserve">Las líneas 20 a 22 se muestran sólo para conocer el neto del operario. Sumarlas al costo empresa es el error de la planilla original.</t>
  </si>
  <si>
    <t xml:space="preserve">VALOR HORA PARA CARGAR EN LA APU</t>
  </si>
  <si>
    <t xml:space="preserve">Este es el número que va a la solapa Materiales y MO de computoPRO.</t>
  </si>
  <si>
    <t xml:space="preserve">Categoría</t>
  </si>
  <si>
    <t xml:space="preserve">Costo/hora productiva</t>
  </si>
  <si>
    <t xml:space="preserve">Costo/hora nominal</t>
  </si>
  <si>
    <t xml:space="preserve">Costo mensual</t>
  </si>
  <si>
    <t xml:space="preserve">Multiplicador</t>
  </si>
  <si>
    <t xml:space="preserve">Liquidación mensual. El costo/hora es referencial.</t>
  </si>
  <si>
    <t xml:space="preserve">COMPARACIÓN CONTRA LA PLANILLA ORIGINAL (sept-2026)</t>
  </si>
  <si>
    <t xml:space="preserve">Esta planilla</t>
  </si>
  <si>
    <t xml:space="preserve">Planilla original</t>
  </si>
  <si>
    <t xml:space="preserve">Diferencia</t>
  </si>
  <si>
    <t xml:space="preserve">Dif. %</t>
  </si>
  <si>
    <t xml:space="preserve">Motivo</t>
  </si>
  <si>
    <t xml:space="preserve">La original suma los aportes del trabajador al costo (lo infla) y divide por 176 hs nominales (lo desinfla). Los dos errores se compensan en parte.</t>
  </si>
  <si>
    <t xml:space="preserve">QUÉ CAMBIAR CUANDO</t>
  </si>
  <si>
    <t xml:space="preserve">Paritaria UOCRA</t>
  </si>
  <si>
    <t xml:space="preserve">Hoja 'Escala UOCRA', filas 6 a 8. Es lo único que cambia cada 3-4 meses.</t>
  </si>
  <si>
    <t xml:space="preserve">Póliza de ART</t>
  </si>
  <si>
    <t xml:space="preserve">Parámetros, alícuota ART y suma fija. Depende de tu empresa, no de la ley.</t>
  </si>
  <si>
    <t xml:space="preserve">Operario supera el año de antigüedad</t>
  </si>
  <si>
    <t xml:space="preserve">Parámetros, Fondo de Cese: 12% → 8%.</t>
  </si>
  <si>
    <t xml:space="preserve">Empresa deja de ser PyME</t>
  </si>
  <si>
    <t xml:space="preserve">Parámetros, SUSS: 18% → 20,40%.</t>
  </si>
  <si>
    <t xml:space="preserve">Obra con muchas paradas por clima</t>
  </si>
  <si>
    <t xml:space="preserve">Parámetros, 'Paradas por clima'. Sube el costo por hora productiva.</t>
  </si>
  <si>
    <t xml:space="preserve">Cambio de zona</t>
  </si>
  <si>
    <t xml:space="preserve">Hoja 'Escala UOCRA', fila 7. Zona B es la de Patagonia Norte.</t>
  </si>
  <si>
    <t xml:space="preserve">ADVERTENCIAS</t>
  </si>
  <si>
    <t xml:space="preserve">1.  DECIDIDO: el adicional por hormigón NO está incluido en el valor hora base. Corresponde sólo a tareas de hormigón, así que se aplica dentro de las APU de estructura. En la app va activado por defecto en esos rubros para todos; poder desactivarlo es función PRO.</t>
  </si>
  <si>
    <t xml:space="preserve">2.  Horas mes: 176 (4 semanas × 44 hs), que es lo que usa la liquidadora. El promedio real del convenio es 190,67 hs (44 × 52 ÷ 12). Cambiarlo mueve el valor hora sólo 0,5%, pero sube el costo mensual ~8%.</t>
  </si>
  <si>
    <t xml:space="preserve">3.  Fondo de Cese al 12% (primer año, criterio conservador). Bajarlo a 8% para cuadrilla con más de un año de antigüedad reduce el valor hora ~2,7%.</t>
  </si>
  <si>
    <t xml:space="preserve">4.  ART al 10,23%: es el valor de la planilla de la liquidadora, NO está verificado contra tu póliza. Es el único parámetro que hay que reemplazar sí o sí por el número real de tu ART. Cada punto de ART mueve el valor hora ~0,65%.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</si>
</sst>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\$#,##0.00"/>
    <numFmt numFmtId="167" formatCode="0.00"/>
    <numFmt numFmtId="168" formatCode="0"/>
    <numFmt numFmtId="169" formatCode="0.000\x"/>
    <numFmt numFmtId="170" formatCode="\$#,##0"/>
    <numFmt numFmtId="171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161A"/>
        <bgColor rgb="FF000000"/>
      </patternFill>
    </fill>
    <fill>
      <patternFill patternType="solid">
        <fgColor rgb="FFD9D9D9"/>
        <bgColor rgb="FFFCE4E4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D96422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D96422"/>
      <rgbColor rgb="FF595959"/>
      <rgbColor rgb="FF969696"/>
      <rgbColor rgb="FF003366"/>
      <rgbColor rgb="FF339966"/>
      <rgbColor rgb="FF1616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5" min="5" style="0" width="62"/>
  </cols>
  <sheetData>
    <row r="2" customFormat="false" ht="21.75" hidden="false" customHeight="true" outlineLevel="0" collapsed="false">
      <c r="B2" s="1" t="s">
        <v>0</v>
      </c>
      <c r="C2" s="2"/>
      <c r="D2" s="2"/>
      <c r="E2" s="2"/>
      <c r="F2" s="2"/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/>
      <c r="D5" s="5"/>
      <c r="E5" s="5"/>
      <c r="F5" s="5"/>
    </row>
    <row r="6" customFormat="false" ht="15" hidden="false" customHeight="false" outlineLevel="0" collapsed="false">
      <c r="B6" s="6" t="s">
        <v>3</v>
      </c>
      <c r="C6" s="6" t="s">
        <v>4</v>
      </c>
      <c r="D6" s="6" t="s">
        <v>5</v>
      </c>
      <c r="E6" s="6" t="s">
        <v>6</v>
      </c>
      <c r="F6" s="7"/>
    </row>
    <row r="7" customFormat="false" ht="19.4" hidden="false" customHeight="false" outlineLevel="0" collapsed="false">
      <c r="B7" s="8" t="s">
        <v>7</v>
      </c>
      <c r="C7" s="9" t="n">
        <v>0.18</v>
      </c>
      <c r="D7" s="10" t="s">
        <v>8</v>
      </c>
      <c r="E7" s="11" t="s">
        <v>9</v>
      </c>
      <c r="F7" s="12"/>
    </row>
    <row r="8" customFormat="false" ht="15" hidden="false" customHeight="false" outlineLevel="0" collapsed="false">
      <c r="B8" s="8" t="s">
        <v>10</v>
      </c>
      <c r="C8" s="9" t="n">
        <v>0.06</v>
      </c>
      <c r="D8" s="10" t="s">
        <v>8</v>
      </c>
      <c r="E8" s="11" t="s">
        <v>11</v>
      </c>
      <c r="F8" s="12"/>
    </row>
    <row r="9" customFormat="false" ht="19.4" hidden="false" customHeight="false" outlineLevel="0" collapsed="false">
      <c r="B9" s="8" t="s">
        <v>12</v>
      </c>
      <c r="C9" s="9" t="n">
        <v>0.1023</v>
      </c>
      <c r="D9" s="10" t="s">
        <v>8</v>
      </c>
      <c r="E9" s="11" t="s">
        <v>13</v>
      </c>
      <c r="F9" s="12"/>
    </row>
    <row r="10" customFormat="false" ht="19.4" hidden="false" customHeight="false" outlineLevel="0" collapsed="false">
      <c r="B10" s="8" t="s">
        <v>14</v>
      </c>
      <c r="C10" s="9" t="n">
        <v>0.12</v>
      </c>
      <c r="D10" s="10" t="s">
        <v>8</v>
      </c>
      <c r="E10" s="11" t="s">
        <v>15</v>
      </c>
      <c r="F10" s="12"/>
    </row>
    <row r="11" customFormat="false" ht="15" hidden="false" customHeight="false" outlineLevel="0" collapsed="false">
      <c r="B11" s="8" t="s">
        <v>16</v>
      </c>
      <c r="C11" s="9" t="n">
        <v>0.02</v>
      </c>
      <c r="D11" s="10" t="s">
        <v>8</v>
      </c>
      <c r="E11" s="11" t="s">
        <v>17</v>
      </c>
      <c r="F11" s="12"/>
    </row>
    <row r="12" customFormat="false" ht="19.4" hidden="false" customHeight="false" outlineLevel="0" collapsed="false">
      <c r="B12" s="8" t="s">
        <v>18</v>
      </c>
      <c r="C12" s="9" t="n">
        <v>0.02</v>
      </c>
      <c r="D12" s="10" t="s">
        <v>19</v>
      </c>
      <c r="E12" s="11" t="s">
        <v>20</v>
      </c>
      <c r="F12" s="12"/>
    </row>
    <row r="13" customFormat="false" ht="15" hidden="false" customHeight="false" outlineLevel="0" collapsed="false">
      <c r="B13" s="8" t="s">
        <v>21</v>
      </c>
      <c r="C13" s="9" t="n">
        <v>0.01</v>
      </c>
      <c r="D13" s="10" t="s">
        <v>19</v>
      </c>
      <c r="E13" s="11" t="s">
        <v>22</v>
      </c>
      <c r="F13" s="12"/>
    </row>
    <row r="14" customFormat="false" ht="15" hidden="false" customHeight="false" outlineLevel="0" collapsed="false">
      <c r="B14" s="8" t="s">
        <v>23</v>
      </c>
      <c r="C14" s="9" t="n">
        <v>0.01</v>
      </c>
      <c r="D14" s="10" t="s">
        <v>19</v>
      </c>
      <c r="E14" s="11" t="s">
        <v>22</v>
      </c>
      <c r="F14" s="12"/>
    </row>
    <row r="15" customFormat="false" ht="15" hidden="false" customHeight="false" outlineLevel="0" collapsed="false">
      <c r="B15" s="13" t="s">
        <v>24</v>
      </c>
      <c r="C15" s="14" t="n">
        <f aca="false">C7+C8+C9+C10+C11+C10*(C12+C13+C14)</f>
        <v>0.4871</v>
      </c>
      <c r="D15" s="15"/>
      <c r="E15" s="16" t="s">
        <v>25</v>
      </c>
      <c r="F15" s="15"/>
    </row>
    <row r="17" customFormat="false" ht="15" hidden="false" customHeight="false" outlineLevel="0" collapsed="false">
      <c r="B17" s="4" t="s">
        <v>26</v>
      </c>
      <c r="C17" s="5"/>
      <c r="D17" s="5"/>
      <c r="E17" s="5"/>
      <c r="F17" s="5"/>
    </row>
    <row r="18" customFormat="false" ht="15" hidden="false" customHeight="false" outlineLevel="0" collapsed="false">
      <c r="B18" s="6" t="s">
        <v>3</v>
      </c>
      <c r="C18" s="6" t="s">
        <v>27</v>
      </c>
      <c r="D18" s="6"/>
      <c r="E18" s="6" t="s">
        <v>28</v>
      </c>
      <c r="F18" s="7"/>
    </row>
    <row r="19" customFormat="false" ht="15" hidden="false" customHeight="false" outlineLevel="0" collapsed="false">
      <c r="B19" s="8" t="s">
        <v>29</v>
      </c>
      <c r="C19" s="17" t="n">
        <v>1905</v>
      </c>
      <c r="D19" s="12"/>
      <c r="E19" s="11" t="s">
        <v>30</v>
      </c>
      <c r="F19" s="12"/>
    </row>
    <row r="20" customFormat="false" ht="15" hidden="false" customHeight="false" outlineLevel="0" collapsed="false">
      <c r="B20" s="8" t="s">
        <v>31</v>
      </c>
      <c r="C20" s="17" t="n">
        <v>424.62</v>
      </c>
      <c r="D20" s="12"/>
      <c r="E20" s="11" t="s">
        <v>32</v>
      </c>
      <c r="F20" s="12"/>
    </row>
    <row r="21" customFormat="false" ht="15" hidden="false" customHeight="false" outlineLevel="0" collapsed="false">
      <c r="B21" s="8" t="s">
        <v>33</v>
      </c>
      <c r="C21" s="17" t="n">
        <v>23333.33</v>
      </c>
      <c r="D21" s="12"/>
      <c r="E21" s="11" t="s">
        <v>34</v>
      </c>
      <c r="F21" s="12"/>
    </row>
    <row r="22" customFormat="false" ht="15" hidden="false" customHeight="false" outlineLevel="0" collapsed="false">
      <c r="B22" s="8" t="s">
        <v>35</v>
      </c>
      <c r="C22" s="17" t="n">
        <v>29681.83</v>
      </c>
      <c r="D22" s="12"/>
      <c r="E22" s="11" t="s">
        <v>36</v>
      </c>
      <c r="F22" s="12"/>
    </row>
    <row r="23" customFormat="false" ht="15" hidden="false" customHeight="false" outlineLevel="0" collapsed="false">
      <c r="B23" s="8" t="s">
        <v>37</v>
      </c>
      <c r="C23" s="17" t="n">
        <v>2000</v>
      </c>
      <c r="D23" s="12"/>
      <c r="E23" s="11" t="s">
        <v>38</v>
      </c>
      <c r="F23" s="12"/>
    </row>
    <row r="24" customFormat="false" ht="15" hidden="false" customHeight="false" outlineLevel="0" collapsed="false">
      <c r="B24" s="13" t="s">
        <v>39</v>
      </c>
      <c r="C24" s="18" t="n">
        <f aca="false">SUM(C19:C23)</f>
        <v>57344.78</v>
      </c>
      <c r="D24" s="15"/>
      <c r="E24" s="15"/>
      <c r="F24" s="15"/>
    </row>
    <row r="26" customFormat="false" ht="15" hidden="false" customHeight="false" outlineLevel="0" collapsed="false">
      <c r="B26" s="4" t="s">
        <v>40</v>
      </c>
      <c r="C26" s="5"/>
      <c r="D26" s="5"/>
      <c r="E26" s="5"/>
      <c r="F26" s="5"/>
    </row>
    <row r="27" customFormat="false" ht="15" hidden="false" customHeight="false" outlineLevel="0" collapsed="false">
      <c r="B27" s="3" t="s">
        <v>41</v>
      </c>
    </row>
    <row r="28" customFormat="false" ht="15" hidden="false" customHeight="false" outlineLevel="0" collapsed="false">
      <c r="B28" s="6" t="s">
        <v>3</v>
      </c>
      <c r="C28" s="6" t="s">
        <v>4</v>
      </c>
      <c r="D28" s="6"/>
      <c r="E28" s="6" t="s">
        <v>42</v>
      </c>
      <c r="F28" s="7"/>
    </row>
    <row r="29" customFormat="false" ht="15" hidden="false" customHeight="false" outlineLevel="0" collapsed="false">
      <c r="B29" s="19" t="s">
        <v>43</v>
      </c>
      <c r="C29" s="9" t="n">
        <v>0.11</v>
      </c>
      <c r="D29" s="20"/>
      <c r="E29" s="21" t="s">
        <v>44</v>
      </c>
      <c r="F29" s="20"/>
    </row>
    <row r="30" customFormat="false" ht="15" hidden="false" customHeight="false" outlineLevel="0" collapsed="false">
      <c r="B30" s="19" t="s">
        <v>45</v>
      </c>
      <c r="C30" s="9" t="n">
        <v>0.03</v>
      </c>
      <c r="D30" s="20"/>
      <c r="E30" s="21" t="s">
        <v>46</v>
      </c>
      <c r="F30" s="20"/>
    </row>
    <row r="31" customFormat="false" ht="15" hidden="false" customHeight="false" outlineLevel="0" collapsed="false">
      <c r="B31" s="19" t="s">
        <v>47</v>
      </c>
      <c r="C31" s="9" t="n">
        <v>0.03</v>
      </c>
      <c r="D31" s="20"/>
      <c r="E31" s="21" t="s">
        <v>48</v>
      </c>
      <c r="F31" s="20"/>
    </row>
    <row r="32" customFormat="false" ht="15" hidden="false" customHeight="false" outlineLevel="0" collapsed="false">
      <c r="B32" s="19" t="s">
        <v>49</v>
      </c>
      <c r="C32" s="9" t="n">
        <v>0.025</v>
      </c>
      <c r="D32" s="20"/>
      <c r="E32" s="21" t="s">
        <v>50</v>
      </c>
      <c r="F32" s="20"/>
    </row>
    <row r="33" customFormat="false" ht="15" hidden="false" customHeight="false" outlineLevel="0" collapsed="false">
      <c r="B33" s="22" t="s">
        <v>51</v>
      </c>
      <c r="C33" s="23" t="n">
        <v>19617.16</v>
      </c>
      <c r="D33" s="7"/>
      <c r="E33" s="24" t="s">
        <v>52</v>
      </c>
      <c r="F33" s="7"/>
    </row>
    <row r="34" customFormat="false" ht="15" hidden="false" customHeight="false" outlineLevel="0" collapsed="false">
      <c r="B34" s="13" t="s">
        <v>53</v>
      </c>
      <c r="C34" s="14" t="n">
        <f aca="false">SUM(C29:C32)</f>
        <v>0.195</v>
      </c>
      <c r="D34" s="15"/>
      <c r="E34" s="15"/>
      <c r="F34" s="15"/>
    </row>
    <row r="36" customFormat="false" ht="15" hidden="false" customHeight="false" outlineLevel="0" collapsed="false">
      <c r="B36" s="4" t="s">
        <v>54</v>
      </c>
      <c r="C36" s="5"/>
      <c r="D36" s="5"/>
      <c r="E36" s="5"/>
      <c r="F36" s="5"/>
    </row>
    <row r="37" customFormat="false" ht="15" hidden="false" customHeight="false" outlineLevel="0" collapsed="false">
      <c r="B37" s="22" t="s">
        <v>55</v>
      </c>
      <c r="C37" s="25" t="n">
        <v>176</v>
      </c>
      <c r="D37" s="7"/>
      <c r="E37" s="24" t="s">
        <v>56</v>
      </c>
      <c r="F37" s="7"/>
    </row>
    <row r="38" customFormat="false" ht="15" hidden="false" customHeight="false" outlineLevel="0" collapsed="false">
      <c r="B38" s="26" t="s">
        <v>57</v>
      </c>
      <c r="C38" s="27" t="n">
        <v>0.0833333333333333</v>
      </c>
      <c r="D38" s="28"/>
      <c r="E38" s="29" t="s">
        <v>58</v>
      </c>
      <c r="F38" s="28"/>
    </row>
    <row r="39" customFormat="false" ht="15" hidden="false" customHeight="false" outlineLevel="0" collapsed="false">
      <c r="B39" s="26" t="s">
        <v>59</v>
      </c>
      <c r="C39" s="30" t="n">
        <v>1</v>
      </c>
      <c r="D39" s="28"/>
      <c r="E39" s="29" t="s">
        <v>60</v>
      </c>
      <c r="F39" s="28"/>
    </row>
    <row r="40" customFormat="false" ht="19.4" hidden="false" customHeight="false" outlineLevel="0" collapsed="false">
      <c r="B40" s="26" t="s">
        <v>61</v>
      </c>
      <c r="C40" s="27" t="n">
        <v>0.2</v>
      </c>
      <c r="D40" s="28"/>
      <c r="E40" s="29" t="s">
        <v>62</v>
      </c>
      <c r="F40" s="28"/>
    </row>
    <row r="41" customFormat="false" ht="19.4" hidden="false" customHeight="false" outlineLevel="0" collapsed="false">
      <c r="B41" s="26" t="s">
        <v>63</v>
      </c>
      <c r="C41" s="31" t="n">
        <v>0</v>
      </c>
      <c r="D41" s="32" t="s">
        <v>64</v>
      </c>
      <c r="E41" s="29" t="s">
        <v>65</v>
      </c>
      <c r="F41" s="28"/>
    </row>
    <row r="43" customFormat="false" ht="15" hidden="false" customHeight="false" outlineLevel="0" collapsed="false">
      <c r="B43" s="4" t="s">
        <v>66</v>
      </c>
      <c r="C43" s="5"/>
      <c r="D43" s="5"/>
      <c r="E43" s="5"/>
      <c r="F43" s="5"/>
    </row>
    <row r="44" customFormat="false" ht="15" hidden="false" customHeight="false" outlineLevel="0" collapsed="false">
      <c r="B44" s="3" t="s">
        <v>67</v>
      </c>
    </row>
    <row r="45" customFormat="false" ht="15" hidden="false" customHeight="false" outlineLevel="0" collapsed="false">
      <c r="B45" s="6" t="s">
        <v>3</v>
      </c>
      <c r="C45" s="6" t="s">
        <v>68</v>
      </c>
      <c r="D45" s="6" t="s">
        <v>69</v>
      </c>
      <c r="E45" s="6" t="s">
        <v>28</v>
      </c>
      <c r="F45" s="7"/>
    </row>
    <row r="46" customFormat="false" ht="15" hidden="false" customHeight="false" outlineLevel="0" collapsed="false">
      <c r="B46" s="8" t="s">
        <v>70</v>
      </c>
      <c r="C46" s="33" t="n">
        <v>8</v>
      </c>
      <c r="D46" s="10" t="s">
        <v>71</v>
      </c>
      <c r="E46" s="11" t="s">
        <v>72</v>
      </c>
      <c r="F46" s="12"/>
    </row>
    <row r="47" customFormat="false" ht="15" hidden="false" customHeight="false" outlineLevel="0" collapsed="false">
      <c r="B47" s="8" t="s">
        <v>73</v>
      </c>
      <c r="C47" s="33" t="n">
        <v>4.6</v>
      </c>
      <c r="D47" s="10" t="s">
        <v>71</v>
      </c>
      <c r="E47" s="11" t="s">
        <v>74</v>
      </c>
      <c r="F47" s="12"/>
    </row>
    <row r="48" customFormat="false" ht="15" hidden="false" customHeight="false" outlineLevel="0" collapsed="false">
      <c r="B48" s="8" t="s">
        <v>75</v>
      </c>
      <c r="C48" s="33" t="n">
        <v>1.81</v>
      </c>
      <c r="D48" s="10" t="s">
        <v>71</v>
      </c>
      <c r="E48" s="11" t="s">
        <v>76</v>
      </c>
      <c r="F48" s="12"/>
    </row>
    <row r="49" customFormat="false" ht="15" hidden="false" customHeight="false" outlineLevel="0" collapsed="false">
      <c r="B49" s="8" t="s">
        <v>77</v>
      </c>
      <c r="C49" s="33" t="n">
        <v>0</v>
      </c>
      <c r="D49" s="10" t="s">
        <v>71</v>
      </c>
      <c r="E49" s="11" t="s">
        <v>78</v>
      </c>
      <c r="F49" s="12"/>
    </row>
    <row r="50" customFormat="false" ht="15" hidden="false" customHeight="false" outlineLevel="0" collapsed="false">
      <c r="B50" s="13" t="s">
        <v>79</v>
      </c>
      <c r="C50" s="34" t="n">
        <f aca="false">SUM(C46:C49)</f>
        <v>14.41</v>
      </c>
      <c r="D50" s="15"/>
      <c r="E50" s="15"/>
      <c r="F50" s="15"/>
    </row>
    <row r="51" customFormat="false" ht="15" hidden="false" customHeight="false" outlineLevel="0" collapsed="false">
      <c r="B51" s="13" t="s">
        <v>80</v>
      </c>
      <c r="C51" s="34" t="n">
        <f aca="false">C37-C50</f>
        <v>161.59</v>
      </c>
      <c r="D51" s="15"/>
      <c r="E51" s="16" t="s">
        <v>81</v>
      </c>
      <c r="F51" s="15"/>
    </row>
    <row r="53" customFormat="false" ht="15" hidden="false" customHeight="false" outlineLevel="0" collapsed="false">
      <c r="B53" s="35" t="s">
        <v>82</v>
      </c>
    </row>
    <row r="54" customFormat="false" ht="15" hidden="false" customHeight="false" outlineLevel="0" collapsed="false">
      <c r="B54" s="3" t="s">
        <v>83</v>
      </c>
    </row>
    <row r="55" customFormat="false" ht="15" hidden="false" customHeight="false" outlineLevel="0" collapsed="false">
      <c r="B55" s="36" t="s">
        <v>84</v>
      </c>
    </row>
    <row r="56" customFormat="false" ht="15" hidden="false" customHeight="false" outlineLevel="0" collapsed="false">
      <c r="B56" s="3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6"/>
    <col collapsed="false" customWidth="true" hidden="false" outlineLevel="0" max="8" min="8" style="0" width="50"/>
  </cols>
  <sheetData>
    <row r="2" customFormat="false" ht="21.75" hidden="false" customHeight="true" outlineLevel="0" collapsed="false">
      <c r="B2" s="1" t="s">
        <v>86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87</v>
      </c>
    </row>
    <row r="5" customFormat="false" ht="30" hidden="false" customHeight="true" outlineLevel="0" collapsed="false">
      <c r="B5" s="37" t="s">
        <v>3</v>
      </c>
      <c r="C5" s="38" t="s">
        <v>88</v>
      </c>
      <c r="D5" s="38" t="s">
        <v>89</v>
      </c>
      <c r="E5" s="38" t="s">
        <v>90</v>
      </c>
      <c r="F5" s="38" t="s">
        <v>91</v>
      </c>
      <c r="G5" s="38" t="s">
        <v>92</v>
      </c>
      <c r="H5" s="37" t="s">
        <v>28</v>
      </c>
    </row>
    <row r="6" customFormat="false" ht="15" hidden="false" customHeight="false" outlineLevel="0" collapsed="false">
      <c r="B6" s="22" t="s">
        <v>93</v>
      </c>
      <c r="C6" s="23" t="n">
        <v>5399</v>
      </c>
      <c r="D6" s="23" t="n">
        <v>5866</v>
      </c>
      <c r="E6" s="23" t="n">
        <v>6348</v>
      </c>
      <c r="F6" s="23" t="n">
        <v>7420</v>
      </c>
      <c r="G6" s="23" t="n">
        <v>980858</v>
      </c>
      <c r="H6" s="24" t="s">
        <v>94</v>
      </c>
    </row>
    <row r="7" customFormat="false" ht="15" hidden="false" customHeight="false" outlineLevel="0" collapsed="false">
      <c r="B7" s="22" t="s">
        <v>95</v>
      </c>
      <c r="C7" s="23" t="n">
        <v>621</v>
      </c>
      <c r="D7" s="23" t="n">
        <v>636</v>
      </c>
      <c r="E7" s="23" t="n">
        <v>702</v>
      </c>
      <c r="F7" s="23" t="n">
        <v>816</v>
      </c>
      <c r="G7" s="23" t="n">
        <v>111861</v>
      </c>
      <c r="H7" s="24" t="s">
        <v>96</v>
      </c>
    </row>
    <row r="8" customFormat="false" ht="19.4" hidden="false" customHeight="false" outlineLevel="0" collapsed="false">
      <c r="B8" s="22" t="s">
        <v>97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39" t="s">
        <v>98</v>
      </c>
    </row>
    <row r="9" customFormat="false" ht="19.4" hidden="false" customHeight="false" outlineLevel="0" collapsed="false">
      <c r="B9" s="13" t="s">
        <v>99</v>
      </c>
      <c r="C9" s="18" t="n">
        <f aca="false">C6+C7+C8*Parametros!$C$41</f>
        <v>6020</v>
      </c>
      <c r="D9" s="18" t="n">
        <f aca="false">D6+D7+D8*Parametros!$C$41</f>
        <v>6502</v>
      </c>
      <c r="E9" s="18" t="n">
        <f aca="false">E6+E7+E8*Parametros!$C$41</f>
        <v>7050</v>
      </c>
      <c r="F9" s="18" t="n">
        <f aca="false">F6+F7+F8*Parametros!$C$41</f>
        <v>8236</v>
      </c>
      <c r="G9" s="18" t="n">
        <f aca="false">G6+G7+G8*Parametros!$C$41</f>
        <v>1092719</v>
      </c>
      <c r="H9" s="40" t="s">
        <v>100</v>
      </c>
    </row>
    <row r="10" customFormat="false" ht="19.4" hidden="false" customHeight="false" outlineLevel="0" collapsed="false">
      <c r="B10" s="22" t="s">
        <v>101</v>
      </c>
      <c r="C10" s="41" t="n">
        <v>0.2</v>
      </c>
      <c r="D10" s="41" t="n">
        <v>0.2</v>
      </c>
      <c r="E10" s="41" t="n">
        <v>0.2</v>
      </c>
      <c r="F10" s="41" t="n">
        <v>0.2</v>
      </c>
      <c r="G10" s="41" t="n">
        <v>0.22</v>
      </c>
      <c r="H10" s="29" t="s">
        <v>102</v>
      </c>
    </row>
    <row r="11" customFormat="false" ht="15" hidden="false" customHeight="false" outlineLevel="0" collapsed="false">
      <c r="B11" s="22" t="s">
        <v>103</v>
      </c>
      <c r="C11" s="42" t="n">
        <f aca="false">C9*C10</f>
        <v>1204</v>
      </c>
      <c r="D11" s="42" t="n">
        <f aca="false">D9*D10</f>
        <v>1300.4</v>
      </c>
      <c r="E11" s="42" t="n">
        <f aca="false">E9*E10</f>
        <v>1410</v>
      </c>
      <c r="F11" s="42" t="n">
        <f aca="false">F9*F10</f>
        <v>1647.2</v>
      </c>
      <c r="G11" s="42" t="n">
        <f aca="false">G9*G10</f>
        <v>240398.18</v>
      </c>
      <c r="H11" s="24" t="s">
        <v>104</v>
      </c>
    </row>
    <row r="12" customFormat="false" ht="15" hidden="false" customHeight="false" outlineLevel="0" collapsed="false">
      <c r="B12" s="13" t="s">
        <v>105</v>
      </c>
      <c r="C12" s="18" t="n">
        <f aca="false">C9+C11</f>
        <v>7224</v>
      </c>
      <c r="D12" s="18" t="n">
        <f aca="false">D9+D11</f>
        <v>7802.4</v>
      </c>
      <c r="E12" s="18" t="n">
        <f aca="false">E9+E11</f>
        <v>8460</v>
      </c>
      <c r="F12" s="18" t="n">
        <f aca="false">F9+F11</f>
        <v>9883.2</v>
      </c>
      <c r="G12" s="18" t="n">
        <f aca="false">G9+G11</f>
        <v>1333117.18</v>
      </c>
      <c r="H12" s="16" t="s">
        <v>106</v>
      </c>
    </row>
    <row r="14" customFormat="false" ht="19.4" hidden="false" customHeight="false" outlineLevel="0" collapsed="false">
      <c r="B14" s="6" t="s">
        <v>107</v>
      </c>
      <c r="C14" s="43" t="s">
        <v>108</v>
      </c>
      <c r="D14" s="43" t="s">
        <v>108</v>
      </c>
      <c r="E14" s="43" t="s">
        <v>108</v>
      </c>
      <c r="F14" s="43" t="s">
        <v>108</v>
      </c>
      <c r="G14" s="43" t="s">
        <v>109</v>
      </c>
      <c r="H14" s="4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8" min="4" style="0" width="16"/>
  </cols>
  <sheetData>
    <row r="2" customFormat="false" ht="21.75" hidden="false" customHeight="true" outlineLevel="0" collapsed="false">
      <c r="B2" s="1" t="s">
        <v>111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C3" s="3" t="s">
        <v>112</v>
      </c>
    </row>
    <row r="5" customFormat="false" ht="30" hidden="false" customHeight="true" outlineLevel="0" collapsed="false">
      <c r="B5" s="37" t="s">
        <v>113</v>
      </c>
      <c r="C5" s="37" t="s">
        <v>3</v>
      </c>
      <c r="D5" s="38" t="s">
        <v>88</v>
      </c>
      <c r="E5" s="38" t="s">
        <v>89</v>
      </c>
      <c r="F5" s="38" t="s">
        <v>90</v>
      </c>
      <c r="G5" s="38" t="s">
        <v>91</v>
      </c>
      <c r="H5" s="38" t="s">
        <v>92</v>
      </c>
    </row>
    <row r="7" customFormat="false" ht="15" hidden="false" customHeight="false" outlineLevel="0" collapsed="false">
      <c r="B7" s="15"/>
      <c r="C7" s="13" t="s">
        <v>114</v>
      </c>
      <c r="D7" s="15"/>
      <c r="E7" s="15"/>
      <c r="F7" s="15"/>
      <c r="G7" s="15"/>
      <c r="H7" s="15"/>
    </row>
    <row r="8" customFormat="false" ht="15" hidden="false" customHeight="false" outlineLevel="0" collapsed="false">
      <c r="B8" s="43" t="s">
        <v>115</v>
      </c>
      <c r="C8" s="22" t="s">
        <v>116</v>
      </c>
      <c r="D8" s="45" t="n">
        <f aca="false">'Escala UOCRA'!C12*Parametros!$C$37</f>
        <v>1271424</v>
      </c>
      <c r="E8" s="45" t="n">
        <f aca="false">'Escala UOCRA'!D12*Parametros!$C$37</f>
        <v>1373222.4</v>
      </c>
      <c r="F8" s="45" t="n">
        <f aca="false">'Escala UOCRA'!E12*Parametros!$C$37</f>
        <v>1488960</v>
      </c>
      <c r="G8" s="45" t="n">
        <f aca="false">'Escala UOCRA'!F12*Parametros!$C$37</f>
        <v>1739443.2</v>
      </c>
      <c r="H8" s="45" t="n">
        <f aca="false">'Escala UOCRA'!G12</f>
        <v>1333117.18</v>
      </c>
    </row>
    <row r="9" customFormat="false" ht="15" hidden="false" customHeight="false" outlineLevel="0" collapsed="false">
      <c r="B9" s="43" t="s">
        <v>117</v>
      </c>
      <c r="C9" s="22" t="s">
        <v>118</v>
      </c>
      <c r="D9" s="42" t="n">
        <f aca="false">D8*Parametros!$C$38</f>
        <v>105952</v>
      </c>
      <c r="E9" s="42" t="n">
        <f aca="false">E8*Parametros!$C$38</f>
        <v>114435.2</v>
      </c>
      <c r="F9" s="42" t="n">
        <f aca="false">F8*Parametros!$C$38</f>
        <v>124080</v>
      </c>
      <c r="G9" s="42" t="n">
        <f aca="false">G8*Parametros!$C$38</f>
        <v>144953.6</v>
      </c>
      <c r="H9" s="42" t="n">
        <f aca="false">H8*Parametros!$C$38</f>
        <v>111093.098333333</v>
      </c>
    </row>
    <row r="10" customFormat="false" ht="15" hidden="false" customHeight="false" outlineLevel="0" collapsed="false">
      <c r="B10" s="43" t="s">
        <v>119</v>
      </c>
      <c r="C10" s="22" t="s">
        <v>120</v>
      </c>
      <c r="D10" s="42" t="n">
        <f aca="false">'Escala UOCRA'!C12*8*Parametros!$C$39</f>
        <v>57792</v>
      </c>
      <c r="E10" s="42" t="n">
        <f aca="false">'Escala UOCRA'!D12*8*Parametros!$C$39</f>
        <v>62419.2</v>
      </c>
      <c r="F10" s="42" t="n">
        <f aca="false">'Escala UOCRA'!E12*8*Parametros!$C$39</f>
        <v>67680</v>
      </c>
      <c r="G10" s="42" t="n">
        <f aca="false">'Escala UOCRA'!F12*8*Parametros!$C$39</f>
        <v>79065.6</v>
      </c>
      <c r="H10" s="42" t="n">
        <f aca="false">H8/25*Parametros!$C$39</f>
        <v>53324.6872</v>
      </c>
    </row>
    <row r="11" customFormat="false" ht="15" hidden="false" customHeight="false" outlineLevel="0" collapsed="false">
      <c r="B11" s="46" t="s">
        <v>121</v>
      </c>
      <c r="C11" s="13" t="s">
        <v>122</v>
      </c>
      <c r="D11" s="18" t="n">
        <f aca="false">SUM(D8:D10)</f>
        <v>1435168</v>
      </c>
      <c r="E11" s="18" t="n">
        <f aca="false">SUM(E8:E10)</f>
        <v>1550076.8</v>
      </c>
      <c r="F11" s="18" t="n">
        <f aca="false">SUM(F8:F10)</f>
        <v>1680720</v>
      </c>
      <c r="G11" s="18" t="n">
        <f aca="false">SUM(G8:G10)</f>
        <v>1963462.4</v>
      </c>
      <c r="H11" s="18" t="n">
        <f aca="false">SUM(H8:H10)</f>
        <v>1497534.96553333</v>
      </c>
    </row>
    <row r="13" customFormat="false" ht="15" hidden="false" customHeight="false" outlineLevel="0" collapsed="false">
      <c r="B13" s="15"/>
      <c r="C13" s="13" t="s">
        <v>123</v>
      </c>
      <c r="D13" s="15"/>
      <c r="E13" s="15"/>
      <c r="F13" s="15"/>
      <c r="G13" s="15"/>
      <c r="H13" s="15"/>
    </row>
    <row r="14" customFormat="false" ht="15" hidden="false" customHeight="false" outlineLevel="0" collapsed="false">
      <c r="B14" s="43" t="s">
        <v>124</v>
      </c>
      <c r="C14" s="22" t="s">
        <v>125</v>
      </c>
      <c r="D14" s="42" t="n">
        <f aca="false">D11*Parametros!$C$7</f>
        <v>258330.24</v>
      </c>
      <c r="E14" s="42" t="n">
        <f aca="false">E11*Parametros!$C$7</f>
        <v>279013.824</v>
      </c>
      <c r="F14" s="42" t="n">
        <f aca="false">F11*Parametros!$C$7</f>
        <v>302529.6</v>
      </c>
      <c r="G14" s="42" t="n">
        <f aca="false">G11*Parametros!$C$7</f>
        <v>353423.232</v>
      </c>
      <c r="H14" s="42" t="n">
        <f aca="false">H11*Parametros!$C$7</f>
        <v>269556.293796</v>
      </c>
    </row>
    <row r="15" customFormat="false" ht="15" hidden="false" customHeight="false" outlineLevel="0" collapsed="false">
      <c r="B15" s="43" t="s">
        <v>126</v>
      </c>
      <c r="C15" s="22" t="s">
        <v>10</v>
      </c>
      <c r="D15" s="42" t="n">
        <f aca="false">D11*Parametros!$C$8</f>
        <v>86110.08</v>
      </c>
      <c r="E15" s="42" t="n">
        <f aca="false">E11*Parametros!$C$8</f>
        <v>93004.608</v>
      </c>
      <c r="F15" s="42" t="n">
        <f aca="false">F11*Parametros!$C$8</f>
        <v>100843.2</v>
      </c>
      <c r="G15" s="42" t="n">
        <f aca="false">G11*Parametros!$C$8</f>
        <v>117807.744</v>
      </c>
      <c r="H15" s="42" t="n">
        <f aca="false">H11*Parametros!$C$8</f>
        <v>89852.097932</v>
      </c>
    </row>
    <row r="16" customFormat="false" ht="15" hidden="false" customHeight="false" outlineLevel="0" collapsed="false">
      <c r="B16" s="43" t="s">
        <v>127</v>
      </c>
      <c r="C16" s="22" t="s">
        <v>128</v>
      </c>
      <c r="D16" s="42" t="n">
        <f aca="false">D11*Parametros!$C$9</f>
        <v>146817.6864</v>
      </c>
      <c r="E16" s="42" t="n">
        <f aca="false">E11*Parametros!$C$9</f>
        <v>158572.85664</v>
      </c>
      <c r="F16" s="42" t="n">
        <f aca="false">F11*Parametros!$C$9</f>
        <v>171937.656</v>
      </c>
      <c r="G16" s="42" t="n">
        <f aca="false">G11*Parametros!$C$9</f>
        <v>200862.20352</v>
      </c>
      <c r="H16" s="42" t="n">
        <f aca="false">H11*Parametros!$C$9</f>
        <v>153197.82697406</v>
      </c>
    </row>
    <row r="17" customFormat="false" ht="15" hidden="false" customHeight="false" outlineLevel="0" collapsed="false">
      <c r="B17" s="43" t="s">
        <v>129</v>
      </c>
      <c r="C17" s="22" t="s">
        <v>14</v>
      </c>
      <c r="D17" s="42" t="n">
        <f aca="false">D11*Parametros!$C$10</f>
        <v>172220.16</v>
      </c>
      <c r="E17" s="42" t="n">
        <f aca="false">E11*Parametros!$C$10</f>
        <v>186009.216</v>
      </c>
      <c r="F17" s="42" t="n">
        <f aca="false">F11*Parametros!$C$10</f>
        <v>201686.4</v>
      </c>
      <c r="G17" s="42" t="n">
        <f aca="false">G11*Parametros!$C$10</f>
        <v>235615.488</v>
      </c>
      <c r="H17" s="42" t="n">
        <f aca="false">H11*Parametros!$C$10</f>
        <v>179704.195864</v>
      </c>
    </row>
    <row r="18" customFormat="false" ht="15" hidden="false" customHeight="false" outlineLevel="0" collapsed="false">
      <c r="B18" s="43" t="s">
        <v>130</v>
      </c>
      <c r="C18" s="22" t="s">
        <v>16</v>
      </c>
      <c r="D18" s="42" t="n">
        <f aca="false">D11*Parametros!$C$11</f>
        <v>28703.36</v>
      </c>
      <c r="E18" s="42" t="n">
        <f aca="false">E11*Parametros!$C$11</f>
        <v>31001.536</v>
      </c>
      <c r="F18" s="42" t="n">
        <f aca="false">F11*Parametros!$C$11</f>
        <v>33614.4</v>
      </c>
      <c r="G18" s="42" t="n">
        <f aca="false">G11*Parametros!$C$11</f>
        <v>39269.248</v>
      </c>
      <c r="H18" s="42" t="n">
        <f aca="false">H11*Parametros!$C$11</f>
        <v>29950.6993106667</v>
      </c>
    </row>
    <row r="19" customFormat="false" ht="15" hidden="false" customHeight="false" outlineLevel="0" collapsed="false">
      <c r="B19" s="43" t="s">
        <v>131</v>
      </c>
      <c r="C19" s="22" t="s">
        <v>132</v>
      </c>
      <c r="D19" s="42" t="n">
        <f aca="false">D17*Parametros!$C$12</f>
        <v>3444.4032</v>
      </c>
      <c r="E19" s="42" t="n">
        <f aca="false">E17*Parametros!$C$12</f>
        <v>3720.18432</v>
      </c>
      <c r="F19" s="42" t="n">
        <f aca="false">F17*Parametros!$C$12</f>
        <v>4033.728</v>
      </c>
      <c r="G19" s="42" t="n">
        <f aca="false">G17*Parametros!$C$12</f>
        <v>4712.30976</v>
      </c>
      <c r="H19" s="42" t="n">
        <f aca="false">H17*Parametros!$C$12</f>
        <v>3594.08391728</v>
      </c>
    </row>
    <row r="20" customFormat="false" ht="15" hidden="false" customHeight="false" outlineLevel="0" collapsed="false">
      <c r="B20" s="43" t="s">
        <v>133</v>
      </c>
      <c r="C20" s="22" t="s">
        <v>134</v>
      </c>
      <c r="D20" s="42" t="n">
        <f aca="false">D17*Parametros!$C$13</f>
        <v>1722.2016</v>
      </c>
      <c r="E20" s="42" t="n">
        <f aca="false">E17*Parametros!$C$13</f>
        <v>1860.09216</v>
      </c>
      <c r="F20" s="42" t="n">
        <f aca="false">F17*Parametros!$C$13</f>
        <v>2016.864</v>
      </c>
      <c r="G20" s="42" t="n">
        <f aca="false">G17*Parametros!$C$13</f>
        <v>2356.15488</v>
      </c>
      <c r="H20" s="42" t="n">
        <f aca="false">H17*Parametros!$C$13</f>
        <v>1797.04195864</v>
      </c>
    </row>
    <row r="21" customFormat="false" ht="15" hidden="false" customHeight="false" outlineLevel="0" collapsed="false">
      <c r="B21" s="43" t="s">
        <v>135</v>
      </c>
      <c r="C21" s="22" t="s">
        <v>136</v>
      </c>
      <c r="D21" s="42" t="n">
        <f aca="false">D17*Parametros!$C$14</f>
        <v>1722.2016</v>
      </c>
      <c r="E21" s="42" t="n">
        <f aca="false">E17*Parametros!$C$14</f>
        <v>1860.09216</v>
      </c>
      <c r="F21" s="42" t="n">
        <f aca="false">F17*Parametros!$C$14</f>
        <v>2016.864</v>
      </c>
      <c r="G21" s="42" t="n">
        <f aca="false">G17*Parametros!$C$14</f>
        <v>2356.15488</v>
      </c>
      <c r="H21" s="42" t="n">
        <f aca="false">H17*Parametros!$C$14</f>
        <v>1797.04195864</v>
      </c>
    </row>
    <row r="22" customFormat="false" ht="15" hidden="false" customHeight="false" outlineLevel="0" collapsed="false">
      <c r="B22" s="46" t="s">
        <v>137</v>
      </c>
      <c r="C22" s="13" t="s">
        <v>138</v>
      </c>
      <c r="D22" s="18" t="n">
        <f aca="false">SUM(D14:D21)</f>
        <v>699070.3328</v>
      </c>
      <c r="E22" s="18" t="n">
        <f aca="false">SUM(E14:E21)</f>
        <v>755042.40928</v>
      </c>
      <c r="F22" s="18" t="n">
        <f aca="false">SUM(F14:F21)</f>
        <v>818678.712</v>
      </c>
      <c r="G22" s="18" t="n">
        <f aca="false">SUM(G14:G21)</f>
        <v>956402.53504</v>
      </c>
      <c r="H22" s="18" t="n">
        <f aca="false">SUM(H14:H21)</f>
        <v>729449.281711287</v>
      </c>
    </row>
    <row r="24" customFormat="false" ht="15" hidden="false" customHeight="false" outlineLevel="0" collapsed="false">
      <c r="B24" s="15"/>
      <c r="C24" s="13" t="s">
        <v>139</v>
      </c>
      <c r="D24" s="15"/>
      <c r="E24" s="15"/>
      <c r="F24" s="15"/>
      <c r="G24" s="15"/>
      <c r="H24" s="15"/>
    </row>
    <row r="25" customFormat="false" ht="15" hidden="false" customHeight="false" outlineLevel="0" collapsed="false">
      <c r="B25" s="43" t="s">
        <v>140</v>
      </c>
      <c r="C25" s="22" t="s">
        <v>141</v>
      </c>
      <c r="D25" s="45" t="n">
        <f aca="false">Parametros!$C$24</f>
        <v>57344.78</v>
      </c>
      <c r="E25" s="45" t="n">
        <f aca="false">Parametros!$C$24</f>
        <v>57344.78</v>
      </c>
      <c r="F25" s="45" t="n">
        <f aca="false">Parametros!$C$24</f>
        <v>57344.78</v>
      </c>
      <c r="G25" s="45" t="n">
        <f aca="false">Parametros!$C$24</f>
        <v>57344.78</v>
      </c>
      <c r="H25" s="45" t="n">
        <f aca="false">Parametros!$C$24</f>
        <v>57344.78</v>
      </c>
    </row>
    <row r="27" customFormat="false" ht="15" hidden="false" customHeight="false" outlineLevel="0" collapsed="false">
      <c r="B27" s="15"/>
      <c r="C27" s="13" t="s">
        <v>142</v>
      </c>
      <c r="D27" s="15"/>
      <c r="E27" s="15"/>
      <c r="F27" s="15"/>
      <c r="G27" s="15"/>
      <c r="H27" s="15"/>
    </row>
    <row r="28" customFormat="false" ht="15" hidden="false" customHeight="false" outlineLevel="0" collapsed="false">
      <c r="B28" s="47" t="s">
        <v>143</v>
      </c>
      <c r="C28" s="48" t="s">
        <v>144</v>
      </c>
      <c r="D28" s="49" t="n">
        <f aca="false">D11+D22+D25</f>
        <v>2191583.1128</v>
      </c>
      <c r="E28" s="49" t="n">
        <f aca="false">E11+E22+E25</f>
        <v>2362463.98928</v>
      </c>
      <c r="F28" s="49" t="n">
        <f aca="false">F11+F22+F25</f>
        <v>2556743.492</v>
      </c>
      <c r="G28" s="49" t="n">
        <f aca="false">G11+G22+G25</f>
        <v>2977209.71504</v>
      </c>
      <c r="H28" s="49" t="n">
        <f aca="false">H11+H22+H25</f>
        <v>2284329.02724462</v>
      </c>
    </row>
    <row r="29" customFormat="false" ht="15" hidden="false" customHeight="false" outlineLevel="0" collapsed="false">
      <c r="B29" s="43" t="s">
        <v>145</v>
      </c>
      <c r="C29" s="22" t="s">
        <v>146</v>
      </c>
      <c r="D29" s="42" t="n">
        <f aca="false">D28/Parametros!$C$37</f>
        <v>12452.1767772727</v>
      </c>
      <c r="E29" s="42" t="n">
        <f aca="false">E28/Parametros!$C$37</f>
        <v>13423.0908481818</v>
      </c>
      <c r="F29" s="42" t="n">
        <f aca="false">F28/Parametros!$C$37</f>
        <v>14526.9516590909</v>
      </c>
      <c r="G29" s="42" t="n">
        <f aca="false">G28/Parametros!$C$37</f>
        <v>16915.96429</v>
      </c>
      <c r="H29" s="42" t="n">
        <f aca="false">H28/Parametros!$C$37</f>
        <v>12979.1422002535</v>
      </c>
    </row>
    <row r="30" customFormat="false" ht="15" hidden="false" customHeight="false" outlineLevel="0" collapsed="false">
      <c r="B30" s="47" t="s">
        <v>147</v>
      </c>
      <c r="C30" s="48" t="s">
        <v>148</v>
      </c>
      <c r="D30" s="49" t="n">
        <f aca="false">D28/Parametros!$C$51</f>
        <v>13562.6159589083</v>
      </c>
      <c r="E30" s="49" t="n">
        <f aca="false">E28/Parametros!$C$51</f>
        <v>14620.1125643914</v>
      </c>
      <c r="F30" s="49" t="n">
        <f aca="false">F28/Parametros!$C$51</f>
        <v>15822.4116096293</v>
      </c>
      <c r="G30" s="49" t="n">
        <f aca="false">G28/Parametros!$C$51</f>
        <v>18424.4675724983</v>
      </c>
      <c r="H30" s="49" t="n">
        <f aca="false">H28/Parametros!$C$51</f>
        <v>14136.574214027</v>
      </c>
    </row>
    <row r="32" customFormat="false" ht="15" hidden="false" customHeight="false" outlineLevel="0" collapsed="false">
      <c r="B32" s="15"/>
      <c r="C32" s="13" t="s">
        <v>149</v>
      </c>
      <c r="D32" s="15"/>
      <c r="E32" s="15"/>
      <c r="F32" s="15"/>
      <c r="G32" s="15"/>
      <c r="H32" s="15"/>
    </row>
    <row r="33" customFormat="false" ht="15" hidden="false" customHeight="false" outlineLevel="0" collapsed="false">
      <c r="B33" s="43" t="s">
        <v>150</v>
      </c>
      <c r="C33" s="22" t="s">
        <v>151</v>
      </c>
      <c r="D33" s="50" t="n">
        <f aca="false">D28/('Escala UOCRA'!C12*Parametros!$C$37)</f>
        <v>1.72372325266787</v>
      </c>
      <c r="E33" s="50" t="n">
        <f aca="false">E28/('Escala UOCRA'!D12*Parametros!$C$37)</f>
        <v>1.72037973548931</v>
      </c>
      <c r="F33" s="50" t="n">
        <f aca="false">F28/('Escala UOCRA'!E12*Parametros!$C$37)</f>
        <v>1.71713376584999</v>
      </c>
      <c r="G33" s="50" t="n">
        <f aca="false">G28/('Escala UOCRA'!F12*Parametros!$C$37)</f>
        <v>1.71158777420269</v>
      </c>
      <c r="H33" s="50" t="n">
        <f aca="false">H28/('Escala UOCRA'!G12)</f>
        <v>1.71352455846726</v>
      </c>
    </row>
    <row r="34" customFormat="false" ht="15" hidden="false" customHeight="false" outlineLevel="0" collapsed="false">
      <c r="B34" s="43" t="s">
        <v>152</v>
      </c>
      <c r="C34" s="22" t="s">
        <v>153</v>
      </c>
      <c r="D34" s="51" t="n">
        <f aca="false">(D22+D25)/D11</f>
        <v>0.527056841289661</v>
      </c>
      <c r="E34" s="51" t="n">
        <f aca="false">(E22+E25)/E11</f>
        <v>0.524094799225432</v>
      </c>
      <c r="F34" s="51" t="n">
        <f aca="false">(F22+F25)/F11</f>
        <v>0.521219175115427</v>
      </c>
      <c r="G34" s="51" t="n">
        <f aca="false">(G22+G25)/G11</f>
        <v>0.516305947615804</v>
      </c>
      <c r="H34" s="51" t="n">
        <f aca="false">(H22+H25)/H11</f>
        <v>0.525392782018333</v>
      </c>
    </row>
    <row r="36" customFormat="false" ht="15" hidden="false" customHeight="false" outlineLevel="0" collapsed="false">
      <c r="B36" s="15"/>
      <c r="C36" s="13" t="s">
        <v>154</v>
      </c>
      <c r="D36" s="15"/>
      <c r="E36" s="15"/>
      <c r="F36" s="15"/>
      <c r="G36" s="15"/>
      <c r="H36" s="15"/>
    </row>
    <row r="37" customFormat="false" ht="15" hidden="false" customHeight="false" outlineLevel="0" collapsed="false">
      <c r="B37" s="52" t="s">
        <v>155</v>
      </c>
      <c r="C37" s="53" t="s">
        <v>156</v>
      </c>
      <c r="D37" s="54" t="n">
        <f aca="false">D11*Parametros!$C$34</f>
        <v>279857.76</v>
      </c>
      <c r="E37" s="54" t="n">
        <f aca="false">E11*Parametros!$C$34</f>
        <v>302264.976</v>
      </c>
      <c r="F37" s="54" t="n">
        <f aca="false">F11*Parametros!$C$34</f>
        <v>327740.4</v>
      </c>
      <c r="G37" s="54" t="n">
        <f aca="false">G11*Parametros!$C$34</f>
        <v>382875.168</v>
      </c>
      <c r="H37" s="54" t="n">
        <f aca="false">H11*Parametros!$C$34</f>
        <v>292019.318279</v>
      </c>
    </row>
    <row r="38" customFormat="false" ht="15" hidden="false" customHeight="false" outlineLevel="0" collapsed="false">
      <c r="B38" s="52" t="s">
        <v>157</v>
      </c>
      <c r="C38" s="53" t="s">
        <v>158</v>
      </c>
      <c r="D38" s="54" t="n">
        <f aca="false">Parametros!$C$33</f>
        <v>19617.16</v>
      </c>
      <c r="E38" s="54" t="n">
        <f aca="false">Parametros!$C$33</f>
        <v>19617.16</v>
      </c>
      <c r="F38" s="54" t="n">
        <f aca="false">Parametros!$C$33</f>
        <v>19617.16</v>
      </c>
      <c r="G38" s="54" t="n">
        <f aca="false">Parametros!$C$33</f>
        <v>19617.16</v>
      </c>
      <c r="H38" s="54" t="n">
        <f aca="false">Parametros!$C$33</f>
        <v>19617.16</v>
      </c>
    </row>
    <row r="39" customFormat="false" ht="15" hidden="false" customHeight="false" outlineLevel="0" collapsed="false">
      <c r="B39" s="52" t="s">
        <v>159</v>
      </c>
      <c r="C39" s="55" t="s">
        <v>160</v>
      </c>
      <c r="D39" s="56" t="n">
        <f aca="false">D11-D37-D38</f>
        <v>1135693.08</v>
      </c>
      <c r="E39" s="56" t="n">
        <f aca="false">E11-E37-E38</f>
        <v>1228194.664</v>
      </c>
      <c r="F39" s="56" t="n">
        <f aca="false">F11-F37-F38</f>
        <v>1333362.44</v>
      </c>
      <c r="G39" s="56" t="n">
        <f aca="false">G11-G37-G38</f>
        <v>1560970.072</v>
      </c>
      <c r="H39" s="56" t="n">
        <f aca="false">H11-H37-H38</f>
        <v>1185898.48725433</v>
      </c>
    </row>
    <row r="41" customFormat="false" ht="15" hidden="false" customHeight="false" outlineLevel="0" collapsed="false">
      <c r="C41" s="3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8"/>
    <col collapsed="false" customWidth="true" hidden="false" outlineLevel="0" max="7" min="7" style="0" width="55"/>
  </cols>
  <sheetData>
    <row r="2" customFormat="false" ht="21.75" hidden="false" customHeight="true" outlineLevel="0" collapsed="false">
      <c r="B2" s="1" t="s">
        <v>162</v>
      </c>
      <c r="C2" s="2"/>
      <c r="D2" s="2"/>
      <c r="E2" s="2"/>
      <c r="F2" s="2"/>
      <c r="G2" s="2"/>
    </row>
    <row r="3" customFormat="false" ht="15" hidden="false" customHeight="false" outlineLevel="0" collapsed="false">
      <c r="B3" s="3" t="s">
        <v>163</v>
      </c>
    </row>
    <row r="5" customFormat="false" ht="31.5" hidden="false" customHeight="true" outlineLevel="0" collapsed="false">
      <c r="B5" s="38" t="s">
        <v>164</v>
      </c>
      <c r="C5" s="38" t="s">
        <v>165</v>
      </c>
      <c r="D5" s="38" t="s">
        <v>166</v>
      </c>
      <c r="E5" s="38" t="s">
        <v>167</v>
      </c>
      <c r="F5" s="38" t="s">
        <v>168</v>
      </c>
      <c r="G5" s="38" t="s">
        <v>28</v>
      </c>
    </row>
    <row r="6" customFormat="false" ht="15" hidden="false" customHeight="false" outlineLevel="0" collapsed="false">
      <c r="B6" s="6" t="s">
        <v>88</v>
      </c>
      <c r="C6" s="57" t="n">
        <f aca="false">Calculo!D30</f>
        <v>13562.6159589083</v>
      </c>
      <c r="D6" s="45" t="n">
        <f aca="false">Calculo!D29</f>
        <v>12452.1767772727</v>
      </c>
      <c r="E6" s="58" t="n">
        <f aca="false">Calculo!D28</f>
        <v>2191583.1128</v>
      </c>
      <c r="F6" s="59" t="n">
        <f aca="false">Calculo!D33</f>
        <v>1.72372325266787</v>
      </c>
      <c r="G6" s="24"/>
    </row>
    <row r="7" customFormat="false" ht="15" hidden="false" customHeight="false" outlineLevel="0" collapsed="false">
      <c r="B7" s="6" t="s">
        <v>89</v>
      </c>
      <c r="C7" s="57" t="n">
        <f aca="false">Calculo!E30</f>
        <v>14620.1125643914</v>
      </c>
      <c r="D7" s="45" t="n">
        <f aca="false">Calculo!E29</f>
        <v>13423.0908481818</v>
      </c>
      <c r="E7" s="58" t="n">
        <f aca="false">Calculo!E28</f>
        <v>2362463.98928</v>
      </c>
      <c r="F7" s="59" t="n">
        <f aca="false">Calculo!E33</f>
        <v>1.72037973548931</v>
      </c>
      <c r="G7" s="24"/>
    </row>
    <row r="8" customFormat="false" ht="15" hidden="false" customHeight="false" outlineLevel="0" collapsed="false">
      <c r="B8" s="6" t="s">
        <v>90</v>
      </c>
      <c r="C8" s="57" t="n">
        <f aca="false">Calculo!F30</f>
        <v>15822.4116096293</v>
      </c>
      <c r="D8" s="45" t="n">
        <f aca="false">Calculo!F29</f>
        <v>14526.9516590909</v>
      </c>
      <c r="E8" s="58" t="n">
        <f aca="false">Calculo!F28</f>
        <v>2556743.492</v>
      </c>
      <c r="F8" s="59" t="n">
        <f aca="false">Calculo!F33</f>
        <v>1.71713376584999</v>
      </c>
      <c r="G8" s="24"/>
    </row>
    <row r="9" customFormat="false" ht="15" hidden="false" customHeight="false" outlineLevel="0" collapsed="false">
      <c r="B9" s="6" t="s">
        <v>91</v>
      </c>
      <c r="C9" s="57" t="n">
        <f aca="false">Calculo!G30</f>
        <v>18424.4675724983</v>
      </c>
      <c r="D9" s="45" t="n">
        <f aca="false">Calculo!G29</f>
        <v>16915.96429</v>
      </c>
      <c r="E9" s="58" t="n">
        <f aca="false">Calculo!G28</f>
        <v>2977209.71504</v>
      </c>
      <c r="F9" s="59" t="n">
        <f aca="false">Calculo!G33</f>
        <v>1.71158777420269</v>
      </c>
      <c r="G9" s="24"/>
    </row>
    <row r="10" customFormat="false" ht="15" hidden="false" customHeight="false" outlineLevel="0" collapsed="false">
      <c r="B10" s="6" t="s">
        <v>92</v>
      </c>
      <c r="C10" s="57" t="n">
        <f aca="false">Calculo!H30</f>
        <v>14136.574214027</v>
      </c>
      <c r="D10" s="45" t="n">
        <f aca="false">Calculo!H29</f>
        <v>12979.1422002535</v>
      </c>
      <c r="E10" s="58" t="n">
        <f aca="false">Calculo!H28</f>
        <v>2284329.02724462</v>
      </c>
      <c r="F10" s="59" t="n">
        <f aca="false">Calculo!H33</f>
        <v>1.71352455846726</v>
      </c>
      <c r="G10" s="24" t="s">
        <v>169</v>
      </c>
    </row>
    <row r="12" customFormat="false" ht="15" hidden="false" customHeight="false" outlineLevel="0" collapsed="false">
      <c r="B12" s="4" t="s">
        <v>170</v>
      </c>
      <c r="C12" s="5"/>
      <c r="D12" s="5"/>
      <c r="E12" s="5"/>
      <c r="F12" s="5"/>
      <c r="G12" s="5"/>
    </row>
    <row r="13" customFormat="false" ht="15" hidden="false" customHeight="false" outlineLevel="0" collapsed="false">
      <c r="B13" s="60" t="s">
        <v>164</v>
      </c>
      <c r="C13" s="60" t="s">
        <v>171</v>
      </c>
      <c r="D13" s="60" t="s">
        <v>172</v>
      </c>
      <c r="E13" s="60" t="s">
        <v>173</v>
      </c>
      <c r="F13" s="60" t="s">
        <v>174</v>
      </c>
      <c r="G13" s="60" t="s">
        <v>175</v>
      </c>
    </row>
    <row r="14" customFormat="false" ht="19.4" hidden="false" customHeight="false" outlineLevel="0" collapsed="false">
      <c r="B14" s="22" t="s">
        <v>88</v>
      </c>
      <c r="C14" s="45" t="n">
        <f aca="false">C6</f>
        <v>13562.6159589083</v>
      </c>
      <c r="D14" s="23" t="n">
        <v>15229.48</v>
      </c>
      <c r="E14" s="42" t="n">
        <f aca="false">C14-D14</f>
        <v>-1666.86404109165</v>
      </c>
      <c r="F14" s="61" t="n">
        <f aca="false">IFERROR(C14/D14-1,0)</f>
        <v>-0.109449832895913</v>
      </c>
      <c r="G14" s="39" t="s">
        <v>176</v>
      </c>
    </row>
    <row r="15" customFormat="false" ht="15" hidden="false" customHeight="false" outlineLevel="0" collapsed="false">
      <c r="B15" s="22" t="s">
        <v>89</v>
      </c>
      <c r="C15" s="45" t="n">
        <f aca="false">C7</f>
        <v>14620.1125643914</v>
      </c>
      <c r="D15" s="23" t="n">
        <v>16413.84</v>
      </c>
      <c r="E15" s="42" t="n">
        <f aca="false">C15-D15</f>
        <v>-1793.72743560864</v>
      </c>
      <c r="F15" s="61" t="n">
        <f aca="false">IFERROR(C15/D15-1,0)</f>
        <v>-0.109281401281397</v>
      </c>
      <c r="G15" s="7"/>
    </row>
    <row r="16" customFormat="false" ht="15" hidden="false" customHeight="false" outlineLevel="0" collapsed="false">
      <c r="B16" s="22" t="s">
        <v>90</v>
      </c>
      <c r="C16" s="45" t="n">
        <f aca="false">C8</f>
        <v>15822.4116096293</v>
      </c>
      <c r="D16" s="23" t="n">
        <v>17760.37</v>
      </c>
      <c r="E16" s="42" t="n">
        <f aca="false">C16-D16</f>
        <v>-1937.95839037069</v>
      </c>
      <c r="F16" s="61" t="n">
        <f aca="false">IFERROR(C16/D16-1,0)</f>
        <v>-0.109117005466141</v>
      </c>
      <c r="G16" s="7"/>
    </row>
    <row r="17" customFormat="false" ht="15" hidden="false" customHeight="false" outlineLevel="0" collapsed="false">
      <c r="B17" s="22" t="s">
        <v>91</v>
      </c>
      <c r="C17" s="45" t="n">
        <f aca="false">C9</f>
        <v>18424.4675724983</v>
      </c>
      <c r="D17" s="23" t="n">
        <v>20674.58</v>
      </c>
      <c r="E17" s="42" t="n">
        <f aca="false">C17-D17</f>
        <v>-2250.1124275017</v>
      </c>
      <c r="F17" s="61" t="n">
        <f aca="false">IFERROR(C17/D17-1,0)</f>
        <v>-0.108834734611378</v>
      </c>
      <c r="G17" s="7"/>
    </row>
    <row r="18" customFormat="false" ht="15" hidden="false" customHeight="false" outlineLevel="0" collapsed="false">
      <c r="B18" s="22" t="s">
        <v>92</v>
      </c>
      <c r="C18" s="45" t="n">
        <f aca="false">C10</f>
        <v>14136.574214027</v>
      </c>
      <c r="D18" s="23" t="n">
        <v>14495.93</v>
      </c>
      <c r="E18" s="42" t="n">
        <f aca="false">C18-D18</f>
        <v>-359.355785973021</v>
      </c>
      <c r="F18" s="61" t="n">
        <f aca="false">IFERROR(C18/D18-1,0)</f>
        <v>-0.0247901159824185</v>
      </c>
      <c r="G18" s="7"/>
    </row>
    <row r="21" customFormat="false" ht="15" hidden="false" customHeight="false" outlineLevel="0" collapsed="false">
      <c r="B21" s="4" t="s">
        <v>177</v>
      </c>
      <c r="C21" s="5"/>
      <c r="D21" s="5"/>
      <c r="E21" s="5"/>
      <c r="F21" s="5"/>
      <c r="G21" s="5"/>
    </row>
    <row r="23" customFormat="false" ht="15" hidden="false" customHeight="false" outlineLevel="0" collapsed="false">
      <c r="B23" s="6" t="s">
        <v>178</v>
      </c>
      <c r="C23" s="24" t="s">
        <v>179</v>
      </c>
      <c r="D23" s="7"/>
      <c r="E23" s="7"/>
      <c r="F23" s="7"/>
      <c r="G23" s="7"/>
    </row>
    <row r="24" customFormat="false" ht="15" hidden="false" customHeight="false" outlineLevel="0" collapsed="false">
      <c r="B24" s="6" t="s">
        <v>180</v>
      </c>
      <c r="C24" s="24" t="s">
        <v>181</v>
      </c>
      <c r="D24" s="7"/>
      <c r="E24" s="7"/>
      <c r="F24" s="7"/>
      <c r="G24" s="7"/>
    </row>
    <row r="25" customFormat="false" ht="15" hidden="false" customHeight="false" outlineLevel="0" collapsed="false">
      <c r="B25" s="6" t="s">
        <v>182</v>
      </c>
      <c r="C25" s="24" t="s">
        <v>183</v>
      </c>
      <c r="D25" s="7"/>
      <c r="E25" s="7"/>
      <c r="F25" s="7"/>
      <c r="G25" s="7"/>
    </row>
    <row r="26" customFormat="false" ht="15" hidden="false" customHeight="false" outlineLevel="0" collapsed="false">
      <c r="B26" s="6" t="s">
        <v>184</v>
      </c>
      <c r="C26" s="24" t="s">
        <v>185</v>
      </c>
      <c r="D26" s="7"/>
      <c r="E26" s="7"/>
      <c r="F26" s="7"/>
      <c r="G26" s="7"/>
    </row>
    <row r="27" customFormat="false" ht="15" hidden="false" customHeight="false" outlineLevel="0" collapsed="false">
      <c r="B27" s="6" t="s">
        <v>186</v>
      </c>
      <c r="C27" s="24" t="s">
        <v>187</v>
      </c>
      <c r="D27" s="7"/>
      <c r="E27" s="7"/>
      <c r="F27" s="7"/>
      <c r="G27" s="7"/>
    </row>
    <row r="28" customFormat="false" ht="15" hidden="false" customHeight="false" outlineLevel="0" collapsed="false">
      <c r="B28" s="6" t="s">
        <v>188</v>
      </c>
      <c r="C28" s="24" t="s">
        <v>189</v>
      </c>
      <c r="D28" s="7"/>
      <c r="E28" s="7"/>
      <c r="F28" s="7"/>
      <c r="G28" s="7"/>
    </row>
    <row r="30" customFormat="false" ht="15" hidden="false" customHeight="false" outlineLevel="0" collapsed="false">
      <c r="B30" s="35" t="s">
        <v>190</v>
      </c>
    </row>
    <row r="31" customFormat="false" ht="27.75" hidden="false" customHeight="true" outlineLevel="0" collapsed="false">
      <c r="B31" s="62" t="s">
        <v>191</v>
      </c>
    </row>
    <row r="32" customFormat="false" ht="27.75" hidden="false" customHeight="true" outlineLevel="0" collapsed="false">
      <c r="B32" s="62" t="s">
        <v>192</v>
      </c>
    </row>
    <row r="33" customFormat="false" ht="27.75" hidden="false" customHeight="true" outlineLevel="0" collapsed="false">
      <c r="B33" s="62" t="s">
        <v>193</v>
      </c>
    </row>
    <row r="34" customFormat="false" ht="27.75" hidden="false" customHeight="true" outlineLevel="0" collapsed="false">
      <c r="B34" s="62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2026-09-02T11:09:53Z</dcterms:created>
  <dc:creator>openpyxl</dc:creator>
  <dc:description/>
  <dc:language>en-US</dc:language>
  <cp:lastModifiedBy/>
  <dcterms:modified xsi:type="dcterms:W3CDTF">2026-09-02T11:09:53Z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